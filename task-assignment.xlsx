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oocn\Documents\github\DLDT\final-project\"/>
    </mc:Choice>
  </mc:AlternateContent>
  <xr:revisionPtr revIDLastSave="0" documentId="13_ncr:1_{83920C8B-DE70-44F5-9413-6DEADCE79494}" xr6:coauthVersionLast="47" xr6:coauthVersionMax="47" xr10:uidLastSave="{00000000-0000-0000-0000-000000000000}"/>
  <bookViews>
    <workbookView xWindow="59535" yWindow="1110" windowWidth="24195" windowHeight="13605" xr2:uid="{00000000-000D-0000-FFFF-FFFF00000000}"/>
  </bookViews>
  <sheets>
    <sheet name="Phan cong" sheetId="1" r:id="rId1"/>
    <sheet name="Cap do 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 i="1" l="1"/>
  <c r="G40" i="1"/>
  <c r="F40" i="1"/>
  <c r="E40" i="1"/>
  <c r="D40" i="1"/>
  <c r="H39" i="1"/>
  <c r="G39" i="1"/>
  <c r="F39" i="1"/>
  <c r="E39" i="1"/>
  <c r="D39" i="1"/>
</calcChain>
</file>

<file path=xl/sharedStrings.xml><?xml version="1.0" encoding="utf-8"?>
<sst xmlns="http://schemas.openxmlformats.org/spreadsheetml/2006/main" count="232" uniqueCount="169">
  <si>
    <t>Khung phân công — Project 3: Truy vấn đa phương thức có giải thích bằng đồ thị</t>
  </si>
  <si>
    <t>Nhóm 7 · Môn Học máy với dữ liệu đồ thị · GVHD: TS. Lê Ngọc Thành</t>
  </si>
  <si>
    <t>Cách điền: mỗi người tự chọn việc ở cột của mình (D–H), chọn "Chính" hoặc "Hỗ trợ" từ danh sách. Mỗi việc cần đúng một người "Chính". Cột Trạng thái chọn từ danh sách. Khung lập ngày 2026-09-17; họ tên Mẫn Nhi và Dương Khang chưa đầy đủ.</t>
  </si>
  <si>
    <t>Giai đoạn</t>
  </si>
  <si>
    <t>Công việc</t>
  </si>
  <si>
    <t>Bộ dữ liệu</t>
  </si>
  <si>
    <t>Nguyễn Đình Lộc
25C11050</t>
  </si>
  <si>
    <t>Ngô Trương Minh Đạt
25C15003</t>
  </si>
  <si>
    <t>Trần Đắc Khoa
25C15015</t>
  </si>
  <si>
    <t>Mẫn Nhi
25C15055</t>
  </si>
  <si>
    <t>Dương Khang
25C15045</t>
  </si>
  <si>
    <t>Trạng thái</t>
  </si>
  <si>
    <t>0. Nền chung</t>
  </si>
  <si>
    <t>Khung repo, config theo seed, requirements, script tải dữ liệu</t>
  </si>
  <si>
    <t>—</t>
  </si>
  <si>
    <t>Chưa bắt đầu</t>
  </si>
  <si>
    <t>Module trích đặc trưng CLIP (ảnh + text), lưu .npy, index FAISS</t>
  </si>
  <si>
    <t>dùng chung</t>
  </si>
  <si>
    <t>Module đánh giá: Recall@1/5/10, MRR, mean ± std qua ≥3 seed</t>
  </si>
  <si>
    <t>Thử CLIP đa ngữ với truy vấn tiếng Việt, chốt encoder cho cả project</t>
  </si>
  <si>
    <t>vài câu thử</t>
  </si>
  <si>
    <t>1. Cấp độ 1 (trần 7.0)</t>
  </si>
  <si>
    <t>Dữ liệu: join theo coco_id, tập con cố định theo seed, split Karpathy, lưu file split</t>
  </si>
  <si>
    <t>Visual Genome ∩ COCO</t>
  </si>
  <si>
    <t>Baseline CLIP thuần: caption → top-k</t>
  </si>
  <si>
    <t>Dựng đồ thị: lọc VG150, node ảnh + node khái niệm, cạnh chứa + quan hệ, cạnh ConceptNet</t>
  </si>
  <si>
    <t>Nối truy vấn vào đồ thị: tách danh từ/động từ, khớp vào node khái niệm</t>
  </si>
  <si>
    <t>GNN (GAT) và điểm đồ thị cho từng ứng viên trong top-k</t>
  </si>
  <si>
    <t>Re-rank α·cosine + (1−α)·điểm đồ thị, chọn α trên validation</t>
  </si>
  <si>
    <t>Ablation: bỏ cạnh quan hệ, xáo cạnh, đồ thị ngẫu nhiên</t>
  </si>
  <si>
    <t>Giải thích cơ bản: trích cạnh/đường đi đóng góp; notebook demo</t>
  </si>
  <si>
    <t>Phân tích 5 truy vấn thành công + 5 thất bại</t>
  </si>
  <si>
    <t>2. Cấp độ 2 (trần 8.5)</t>
  </si>
  <si>
    <t>Dữ liệu MKG-W: kiểm tra ảnh gốc + mô tả text, sinh truy vấn từ mô tả đã che tên, chia truy vấn và triple theo split</t>
  </si>
  <si>
    <t>MKG-W</t>
  </si>
  <si>
    <t>Chạy lại CLIP thuần và CLIP + GNN trên MKG-W</t>
  </si>
  <si>
    <t>Tái lập NativE hoặc AdaMF-MAT, bước a: link prediction gốc, so với số trong bài báo</t>
  </si>
  <si>
    <t>Tái lập, bước b: dùng embedding thực thể thay GNN trong điểm đồ thị</t>
  </si>
  <si>
    <t>MKG-W (+ Visual Genome nếu kịp)</t>
  </si>
  <si>
    <t>Soạn bộ ≥20 truy vấn mỗi tập (trực tiếp, gián tiếp, đảo quan hệ) + mô tả cách xây và kiểm tra</t>
  </si>
  <si>
    <t>Visual Genome ∩ COCO, MKG-W</t>
  </si>
  <si>
    <t>Báo cáo kết quả tách nhóm trực tiếp / gián tiếp</t>
  </si>
  <si>
    <t>Mở rộng (chọn 1–2): độ nhạy theo α, so các cách tạo cạnh</t>
  </si>
  <si>
    <t>3. Cấp độ 3 (trần 10)</t>
  </si>
  <si>
    <t>Chốt định nghĩa fidelity / validity / sparsity</t>
  </si>
  <si>
    <t>Cài đặt fidelity (bỏ cạnh giải thích so với bỏ cạnh ngẫu nhiên) và sparsity</t>
  </si>
  <si>
    <t>Chấm validity trên ≥10 truy vấn</t>
  </si>
  <si>
    <t>MMKG tiếng Việt: chọn miền, thu thập thực thể / triple / ảnh (Wikidata, Wikimedia Commons), liên kết ảnh–thực thể</t>
  </si>
  <si>
    <t>MMKG tiếng Việt</t>
  </si>
  <si>
    <t>MMKG tiếng Việt: soạn truy vấn tiếng Việt, viết data card</t>
  </si>
  <si>
    <t>Chạy phương pháp tốt nhất trên MMKG tiếng Việt, phân tích chuyển giao</t>
  </si>
  <si>
    <t>4. Mở rộng tự chọn (+1.0 – 2.0)</t>
  </si>
  <si>
    <t>Hướng (a): α thích nghi theo truy vấn hoặc cách chọn đường đi giải thích; giả thuyết + ablation trên 2 tập</t>
  </si>
  <si>
    <t>Hướng (c): khảo sát người dùng có đối chứng (nếu còn thời gian)</t>
  </si>
  <si>
    <t>5. Sản phẩm nộp</t>
  </si>
  <si>
    <t>Báo cáo kỹ thuật 12–18 trang (chia phần theo mảng đã làm)</t>
  </si>
  <si>
    <t>Slide trình bày ≤20 phút</t>
  </si>
  <si>
    <t>Demo chạy trực tiếp + video dự phòng ≤5 phút</t>
  </si>
  <si>
    <t>README chạy lại, mô tả chống rò rỉ, khai báo dùng AI / mã nguồn mở, bảng phân công cuối</t>
  </si>
  <si>
    <t>Số việc Chính</t>
  </si>
  <si>
    <t>Số việc Hỗ trợ</t>
  </si>
  <si>
    <t>Cấp độ 1 — Visual Genome ∩ COCO: thông tin để làm từng bước</t>
  </si>
  <si>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</si>
  <si>
    <t>Bước</t>
  </si>
  <si>
    <t>Việc</t>
  </si>
  <si>
    <t>Đầu vào</t>
  </si>
  <si>
    <t>Cách làm</t>
  </si>
  <si>
    <t>Đầu ra (file)</t>
  </si>
  <si>
    <t>Công cụ</t>
  </si>
  <si>
    <t>Lưu ý rò rỉ / rủi ro</t>
  </si>
  <si>
    <t>Tiêu chí xong</t>
  </si>
  <si>
    <t>Phụ thuộc</t>
  </si>
  <si>
    <t>1.1</t>
  </si>
  <si>
    <t>Tải dữ liệu</t>
  </si>
  <si>
    <t>Visual Genome v1.4: image_data.json, objects.json, relationships.json, object_alias.txt, relationship_alias.txt. COCO 2014: captions_train2014.json, captions_val2014.json. Split Karpathy: dataset_coco.json.</t>
  </si>
  <si>
    <t>Chỉ tải file JSON trước (vài trăm MB). Ảnh KHÔNG tải cả bộ (~15 GB): sau bước 1.2 mới tải đúng các ảnh trong tập con theo trường url của image_data.json.</t>
  </si>
  <si>
    <t>data/raw/visual_genome/*.json
data/raw/coco/*.json
data/README.md (link + checksum)</t>
  </si>
  <si>
    <t>scripts/download_data.py, requests</t>
  </si>
  <si>
    <t>Dữ liệu lớn không commit. Ghi phiên bản và ngày tải vì đề dặn thống kê có thể đổi theo phiên bản.</t>
  </si>
  <si>
    <t>Chạy lại script trên máy khác ra đúng các file, có checksum.</t>
  </si>
  <si>
    <t>1.2</t>
  </si>
  <si>
    <t>Join, tập con, split</t>
  </si>
  <si>
    <t>image_data.json (trường coco_id), dataset_coco.json (split Karpathy), captions COCO.</t>
  </si>
  <si>
    <t>Giữ ảnh có coco_id khác null. Gán split theo Karpathy (train / val / test). Lấy tập con theo seed cố định: đề xuất train 10 000, val 1 000, test 1 000 ảnh; mỗi ảnh 5 caption. Đếm và ghi lại: số ảnh giao, số ảnh mỗi split trước và sau khi lấy mẫu. Tải ảnh của tập con.</t>
  </si>
  <si>
    <t>data/splits/vg_coco_train.json, _val.json, _test.json (image_id, coco_id, captions)
data/raw/images/
experiments/data_stats.md</t>
  </si>
  <si>
    <t>src/data/build_split.py, pandas</t>
  </si>
  <si>
    <t>Split lấy theo chuẩn có sẵn, không tự chia lại. Seed lấy mẫu ghi trong config. File split nộp kèm (Mục 6).</t>
  </si>
  <si>
    <t>Ba file split cố định; chạy lại cùng seed ra đúng danh sách; bảng thống kê có số thật.</t>
  </si>
  <si>
    <t>1.3</t>
  </si>
  <si>
    <t>Trích đặc trưng CLIP</t>
  </si>
  <si>
    <t>Ảnh tập con, caption, tên 150 lớp đối tượng.</t>
  </si>
  <si>
    <t>open_clip, encoder đóng băng (bản nào thì chờ kết quả thử CLIP đa ngữ ở giai đoạn 0; mặc định ViT-B/32). Trích một lần: vector ảnh, vector caption, vector tên khái niệm theo mẫu "a photo of a {tên}". Chuẩn hoá L2.</t>
  </si>
  <si>
    <t>data/features/image_feats.npy, caption_feats.npy, concept_feats.npy + file ánh xạ id → dòng</t>
  </si>
  <si>
    <t>src/features/extract_clip.py, open_clip, torch</t>
  </si>
  <si>
    <t>Encoder đóng băng nên không có gì học từ test. Ghi tên model + pretrained tag vào config để tái lập.</t>
  </si>
  <si>
    <t>Số dòng khớp số ảnh / caption / khái niệm; chuẩn của mỗi vector = 1.</t>
  </si>
  <si>
    <t>1.2, giai đoạn 0</t>
  </si>
  <si>
    <t>1.4</t>
  </si>
  <si>
    <t>Baseline CLIP thuần</t>
  </si>
  <si>
    <t>image_feats, caption_feats, split test.</t>
  </si>
  <si>
    <t>FAISS IndexFlatIP trên ảnh của split test (pool ứng viên). Mỗi caption test là một truy vấn, đáp án đúng là ảnh gốc của nó. Tính Recall@1/5/10, MRR. Lưu top-50 cho từng truy vấn để các bước sau xếp hạng lại.</t>
  </si>
  <si>
    <t>experiments/level1/clip_baseline/metrics.json
experiments/level1/clip_baseline/top50_{val,test}.npy</t>
  </si>
  <si>
    <t>src/retrieval/clip_baseline.py, src/eval/metrics.py, faiss</t>
  </si>
  <si>
    <t>Kiểm tra pipeline: đối chiếu sơ bộ với Recall@1 zero-shot text→image của CLIP trên COCO đã công bố (cần tra lại số cho đúng model; pool nhỏ hơn 5k thì số của nhóm cao hơn). Lệch quá xa = có lỗi.</t>
  </si>
  <si>
    <t>Có bảng R@1/5/10, MRR trên val và test; baseline không có ngẫu nhiên nên 1 lần chạy là đủ.</t>
  </si>
  <si>
    <t>1.5</t>
  </si>
  <si>
    <t>Dựng đồ thị</t>
  </si>
  <si>
    <t>objects.json, relationships.json, alias, danh sách VG150 (150 lớp đối tượng, 50 quan hệ), ConceptNet (assertions tiếng Anh).</t>
  </si>
  <si>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</si>
  <si>
    <t>data/graphs/vg_coco_graph.pt (PyG HeteroData hoặc danh sách triple)
experiments/level1/graph_stats.md</t>
  </si>
  <si>
    <t>src/graph/build_vg_graph.py, torch_geometric</t>
  </si>
  <si>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</si>
  <si>
    <t>Bảng thống kê: số node mỗi loại, số cạnh mỗi loại, bậc trung bình, tỉ lệ ảnh không còn đối tượng nào sau lọc.</t>
  </si>
  <si>
    <t>1.6</t>
  </si>
  <si>
    <t>Nối truy vấn vào đồ thị</t>
  </si>
  <si>
    <t>Caption (truy vấn), danh sách node khái niệm, alias.</t>
  </si>
  <si>
    <t>Tách danh từ và động từ bằng spaCy, lấy lemma, khớp vào tên node khái niệm (qua alias). Kết quả: mỗi truy vấn → tập node khái niệm xuất phát. Truy vấn không khớp node nào thì điểm đồ thị = 0, chỉ còn điểm CLIP.</t>
  </si>
  <si>
    <t>data/processed/query_concepts_{train,val,test}.json
thống kê tỉ lệ truy vấn khớp ≥1 node</t>
  </si>
  <si>
    <t>src/graph/link_query.py, spacy (en_core_web_sm)</t>
  </si>
  <si>
    <t>Bước này không học gì nên không rò rỉ. Rủi ro: tỉ lệ khớp thấp thì đồ thị không có tác dụng; nếu dưới ~70% thì mở rộng alias hoặc khớp gần đúng bằng vector CLIP text.</t>
  </si>
  <si>
    <t>Tỉ lệ truy vấn khớp ≥1 node được báo cáo cho cả 3 split; xem tay 30 truy vấn để kiểm tra khớp sai.</t>
  </si>
  <si>
    <t>1.7</t>
  </si>
  <si>
    <t>GNN và điểm đồ thị</t>
  </si>
  <si>
    <t>Đồ thị, query_concepts, top-50 của baseline, split train/val.</t>
  </si>
  <si>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</si>
  <si>
    <t>src/models/gat_ranker.py, src/train.py
experiments/level1/gat/seed_{0,1,2}/ (checkpoint, log, config)</t>
  </si>
  <si>
    <t>torch_geometric (GATConv / HGTConv), torch</t>
  </si>
  <si>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</si>
  <si>
    <t>Loss giảm, Recall trên val của riêng điểm đồ thị cao hơn ngẫu nhiên rõ rệt; có checkpoint cho 3 seed.</t>
  </si>
  <si>
    <t>1.5, 1.6</t>
  </si>
  <si>
    <t>1.8</t>
  </si>
  <si>
    <t>Xếp hạng lại</t>
  </si>
  <si>
    <t>top-50 baseline, điểm đồ thị, split val/test.</t>
  </si>
  <si>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</si>
  <si>
    <t>experiments/level1/rerank/metrics.json (mean ± std qua seed), alpha_sweep_val.csv</t>
  </si>
  <si>
    <t>src/retrieval/rerank.py</t>
  </si>
  <si>
    <t>α và k chọn trên val, không nhìn test. Xếp hạng lại chỉ trong top-50 nên Recall@50 của baseline là trần: ghi con số này vào báo cáo.</t>
  </si>
  <si>
    <t>Bảng so sánh CLIP thuần và CLIP + Graph trên cùng split, có mean ± std của ≥3 seed.</t>
  </si>
  <si>
    <t>1.4, 1.7</t>
  </si>
  <si>
    <t>1.9</t>
  </si>
  <si>
    <t>Ablation</t>
  </si>
  <si>
    <t>Đồ thị, pipeline 1.7–1.8.</t>
  </si>
  <si>
    <t>Huấn luyện lại với: (a) bỏ cạnh quan hệ, chỉ giữ contains; (b) bỏ cạnh ConceptNet; (c) xáo cạnh, giữ nguyên bậc node; (d) đồ thị ngẫu nhiên cùng số cạnh. Cùng seed, cùng siêu tham số với bản đầy đủ.</t>
  </si>
  <si>
    <t>experiments/level1/ablation/{no_rel,no_conceptnet,shuffled,random}/
bảng tổng hợp ablation</t>
  </si>
  <si>
    <t>src/graph/perturb.py</t>
  </si>
  <si>
    <t>Mục đích là chứng minh cải thiện đến từ cấu trúc quan hệ. Nếu (c) và (d) cho kết quả ngang bản đầy đủ thì đồ thị không đóng góp gì: phải báo cáo đúng như vậy, không che.</t>
  </si>
  <si>
    <t>Bảng 5 hàng (đầy đủ + 4 biến thể) × 4 metric, mean ± std.</t>
  </si>
  <si>
    <t>1.10</t>
  </si>
  <si>
    <t>Giải thích cơ bản và demo</t>
  </si>
  <si>
    <t>Checkpoint GAT, đồ thị, truy vấn.</t>
  </si>
  <si>
    <t>Với mỗi kết quả: lấy các node khái niệm xuất phát của truy vấn, lần theo cạnh có attention cao nhất tới node ảnh, xuất top-m đường đi kèm trọng số đóng góp vào điểm đồ thị. Notebook: nhập câu → top-k ảnh → hiển thị đường đi dạng chữ (boy –kicking→ ball) và vẽ đồ thị con.</t>
  </si>
  <si>
    <t>src/explain/path_explainer.py
notebooks/demo_retrieval.ipynb</t>
  </si>
  <si>
    <t>networkx / pyvis, matplotlib, ipywidgets</t>
  </si>
  <si>
    <t>Đường đi hiển thị phải là thứ thật sự tham gia tính điểm. Thiết kế sẵn hàm "bỏ các cạnh này rồi tính lại điểm" vì cấp độ 3 đo fidelity bằng đúng hàm đó.</t>
  </si>
  <si>
    <t>Notebook chạy từ đầu tới cuối trên máy sạch; mỗi kết quả có ≥1 đường đi hoặc ghi rõ "không có đường đi, chỉ dùng điểm CLIP".</t>
  </si>
  <si>
    <t>1.11</t>
  </si>
  <si>
    <t>Phân tích 5 thành công + 5 thất bại</t>
  </si>
  <si>
    <t>Kết quả test của CLIP thuần và CLIP + Graph, giải thích từ 1.10.</t>
  </si>
  <si>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</si>
  <si>
    <t>report/analysis/level1_case_studies.md + hình</t>
  </si>
  <si>
    <t>notebook</t>
  </si>
  <si>
    <t>Chọn ca theo tiêu chí ghi trước (ví dụ: thay đổi hạng lớn nhất), không chọn theo cảm tính cho đẹp.</t>
  </si>
  <si>
    <t>10 ca có đủ 4 mục; nhóm nguyên nhân thất bại được tổng kết thành 2–3 loại.</t>
  </si>
  <si>
    <t>Cần chốt trước hoặc trong khi làm</t>
  </si>
  <si>
    <t>1. Kích thước tập con (đề xuất 10 000 / 1 000 / 1 000 ảnh): chốt sau khi đếm số ảnh giao ở bước 1.2.</t>
  </si>
  <si>
    <t>2. Encoder: chờ kết quả thử CLIP đa ngữ ở giai đoạn 0; nếu bản đa ngữ kém hẳn trên tiếng Anh thì dùng hai encoder (báo cáo rõ).</t>
  </si>
  <si>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</si>
  <si>
    <t>4. k của top-k (đề xuất 50) và cách chuẩn hoá điểm trước khi cộng.</t>
  </si>
  <si>
    <t>5. Các con số trong sheet này (kích thước file, Recall công bố, ngưỡng 70%) là ước lượng để định hướng, phải thay bằng số đo thật khi chạy.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</si>
</sst>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name val="Arial"/>
    </font>
    <font>
      <sz val="11"/>
      <name val="Arial"/>
    </font>
    <font>
      <i/>
      <sz val="10"/>
      <color rgb="FF7F7F7F"/>
      <name val="Arial"/>
    </font>
    <font>
      <b/>
      <sz val="11"/>
      <color rgb="FFFFFFFF"/>
      <name val="Arial"/>
    </font>
    <font>
      <b/>
      <sz val="10"/>
      <name val="Arial"/>
    </font>
    <font>
      <sz val="10"/>
      <name val="Arial"/>
    </font>
    <font>
      <b/>
      <sz val="11"/>
      <name val="Arial"/>
    </font>
  </fonts>
  <fills count="8">
    <fill>
      <patternFill patternType="none"/>
    </fill>
    <fill>
      <patternFill patternType="gray125"/>
    </fill>
    <fill>
      <patternFill patternType="solid">
        <fgColor rgb="FF2C5361"/>
      </patternFill>
    </fill>
    <fill>
      <patternFill patternType="solid">
        <fgColor rgb="FFF2F2F2"/>
      </patternFill>
    </fill>
    <fill>
      <patternFill patternType="solid">
        <fgColor rgb="FFE8F3F1"/>
      </patternFill>
    </fill>
    <fill>
      <patternFill patternType="solid">
        <fgColor rgb="FFFDF3E1"/>
      </patternFill>
    </fill>
    <fill>
      <patternFill patternType="solid">
        <fgColor rgb="FFEEE8F7"/>
      </patternFill>
    </fill>
    <fill>
      <patternFill patternType="solid">
        <fgColor rgb="FFFBE9E5"/>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s>
  <cellStyleXfs count="1">
    <xf numFmtId="0" fontId="0" fillId="0" borderId="0"/>
  </cellStyleXfs>
  <cellXfs count="24">
    <xf numFmtId="0" fontId="0" fillId="0" borderId="0" xfId="0"/>
    <xf numFmtId="0" fontId="4" fillId="2" borderId="1" xfId="0" applyFont="1" applyFill="1" applyBorder="1" applyAlignment="1">
      <alignment horizontal="center" vertical="center" wrapText="1"/>
    </xf>
    <xf numFmtId="0" fontId="6" fillId="3" borderId="1" xfId="0" applyFont="1" applyFill="1" applyBorder="1" applyAlignment="1">
      <alignment vertical="top" wrapText="1"/>
    </xf>
    <xf numFmtId="0" fontId="6" fillId="0" borderId="1" xfId="0" applyFont="1" applyBorder="1" applyAlignment="1">
      <alignment horizontal="center" vertical="center"/>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6" fillId="6" borderId="1" xfId="0" applyFont="1" applyFill="1" applyBorder="1" applyAlignment="1">
      <alignment vertical="top" wrapText="1"/>
    </xf>
    <xf numFmtId="0" fontId="6" fillId="7" borderId="1" xfId="0" applyFont="1" applyFill="1" applyBorder="1" applyAlignment="1">
      <alignment vertical="top" wrapText="1"/>
    </xf>
    <xf numFmtId="0" fontId="5" fillId="0" borderId="0" xfId="0" applyFont="1"/>
    <xf numFmtId="0" fontId="5" fillId="4" borderId="1" xfId="0" applyFont="1" applyFill="1" applyBorder="1" applyAlignment="1">
      <alignment vertical="top" wrapText="1"/>
    </xf>
    <xf numFmtId="0" fontId="6" fillId="0" borderId="1" xfId="0" applyFont="1" applyBorder="1" applyAlignment="1">
      <alignment vertical="top" wrapText="1"/>
    </xf>
    <xf numFmtId="0" fontId="7" fillId="0" borderId="0" xfId="0" applyFont="1"/>
    <xf numFmtId="0" fontId="5" fillId="7" borderId="1" xfId="0" applyFont="1" applyFill="1" applyBorder="1" applyAlignment="1">
      <alignment vertical="center" wrapText="1"/>
    </xf>
    <xf numFmtId="0" fontId="0" fillId="0" borderId="3" xfId="0" applyBorder="1"/>
    <xf numFmtId="0" fontId="2" fillId="0" borderId="0" xfId="0" applyFont="1"/>
    <xf numFmtId="0" fontId="0" fillId="0" borderId="0" xfId="0"/>
    <xf numFmtId="0" fontId="5" fillId="6" borderId="1" xfId="0" applyFont="1" applyFill="1" applyBorder="1" applyAlignment="1">
      <alignment vertical="center" wrapText="1"/>
    </xf>
    <xf numFmtId="0" fontId="0" fillId="0" borderId="2" xfId="0" applyBorder="1"/>
    <xf numFmtId="0" fontId="5" fillId="5" borderId="1" xfId="0" applyFont="1" applyFill="1" applyBorder="1" applyAlignment="1">
      <alignment vertical="center" wrapText="1"/>
    </xf>
    <xf numFmtId="0" fontId="5" fillId="3" borderId="1" xfId="0" applyFont="1" applyFill="1" applyBorder="1" applyAlignment="1">
      <alignment vertical="center" wrapText="1"/>
    </xf>
    <xf numFmtId="0" fontId="1" fillId="0" borderId="0" xfId="0" applyFont="1"/>
    <xf numFmtId="0" fontId="3" fillId="0" borderId="0" xfId="0" applyFont="1" applyAlignment="1">
      <alignment vertical="top" wrapText="1"/>
    </xf>
    <xf numFmtId="0" fontId="5" fillId="4" borderId="1" xfId="0" applyFont="1" applyFill="1" applyBorder="1" applyAlignment="1">
      <alignment vertical="center" wrapText="1"/>
    </xf>
    <xf numFmtId="0" fontId="6"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0"/>
  <sheetViews>
    <sheetView tabSelected="1" workbookViewId="0">
      <pane xSplit="3" ySplit="5" topLeftCell="D6" activePane="bottomRight" state="frozen"/>
      <selection pane="topRight"/>
      <selection pane="bottomLeft"/>
      <selection pane="bottomRight" activeCell="C12" sqref="C12"/>
    </sheetView>
  </sheetViews>
  <sheetFormatPr defaultRowHeight="14.6" x14ac:dyDescent="0.4"/>
  <cols>
    <col min="1" max="1" width="20" customWidth="1"/>
    <col min="2" max="2" width="62" customWidth="1"/>
    <col min="3" max="3" width="24" customWidth="1"/>
    <col min="4" max="8" width="16" customWidth="1"/>
    <col min="9" max="9" width="14" customWidth="1"/>
  </cols>
  <sheetData>
    <row r="1" spans="1:9" ht="17.600000000000001" x14ac:dyDescent="0.4">
      <c r="A1" s="20" t="s">
        <v>0</v>
      </c>
      <c r="B1" s="15"/>
      <c r="C1" s="15"/>
      <c r="D1" s="15"/>
      <c r="E1" s="15"/>
      <c r="F1" s="15"/>
      <c r="G1" s="15"/>
      <c r="H1" s="15"/>
      <c r="I1" s="15"/>
    </row>
    <row r="2" spans="1:9" x14ac:dyDescent="0.4">
      <c r="A2" s="14" t="s">
        <v>1</v>
      </c>
      <c r="B2" s="15"/>
      <c r="C2" s="15"/>
      <c r="D2" s="15"/>
      <c r="E2" s="15"/>
      <c r="F2" s="15"/>
      <c r="G2" s="15"/>
      <c r="H2" s="15"/>
      <c r="I2" s="15"/>
    </row>
    <row r="3" spans="1:9" ht="30" customHeight="1" x14ac:dyDescent="0.4">
      <c r="A3" s="21" t="s">
        <v>2</v>
      </c>
      <c r="B3" s="15"/>
      <c r="C3" s="15"/>
      <c r="D3" s="15"/>
      <c r="E3" s="15"/>
      <c r="F3" s="15"/>
      <c r="G3" s="15"/>
      <c r="H3" s="15"/>
      <c r="I3" s="15"/>
    </row>
    <row r="5" spans="1:9" ht="48" customHeight="1" x14ac:dyDescent="0.4">
      <c r="A5" s="1" t="s">
        <v>3</v>
      </c>
      <c r="B5" s="1" t="s">
        <v>4</v>
      </c>
      <c r="C5" s="1" t="s">
        <v>5</v>
      </c>
      <c r="D5" s="1" t="s">
        <v>6</v>
      </c>
      <c r="E5" s="1" t="s">
        <v>7</v>
      </c>
      <c r="F5" s="1" t="s">
        <v>8</v>
      </c>
      <c r="G5" s="1" t="s">
        <v>9</v>
      </c>
      <c r="H5" s="1" t="s">
        <v>10</v>
      </c>
      <c r="I5" s="1" t="s">
        <v>11</v>
      </c>
    </row>
    <row r="6" spans="1:9" ht="30" customHeight="1" x14ac:dyDescent="0.4">
      <c r="A6" s="19" t="s">
        <v>12</v>
      </c>
      <c r="B6" s="2" t="s">
        <v>13</v>
      </c>
      <c r="C6" s="2" t="s">
        <v>14</v>
      </c>
      <c r="D6" s="3"/>
      <c r="E6" s="3"/>
      <c r="F6" s="3"/>
      <c r="G6" s="3"/>
      <c r="H6" s="3"/>
      <c r="I6" s="3" t="s">
        <v>15</v>
      </c>
    </row>
    <row r="7" spans="1:9" ht="30" customHeight="1" x14ac:dyDescent="0.4">
      <c r="A7" s="17"/>
      <c r="B7" s="2" t="s">
        <v>16</v>
      </c>
      <c r="C7" s="2" t="s">
        <v>17</v>
      </c>
      <c r="D7" s="3"/>
      <c r="E7" s="3"/>
      <c r="F7" s="3"/>
      <c r="G7" s="3"/>
      <c r="H7" s="3"/>
      <c r="I7" s="3" t="s">
        <v>15</v>
      </c>
    </row>
    <row r="8" spans="1:9" ht="30" customHeight="1" x14ac:dyDescent="0.4">
      <c r="A8" s="17"/>
      <c r="B8" s="2" t="s">
        <v>18</v>
      </c>
      <c r="C8" s="2" t="s">
        <v>17</v>
      </c>
      <c r="D8" s="3"/>
      <c r="E8" s="3"/>
      <c r="F8" s="3"/>
      <c r="G8" s="3"/>
      <c r="H8" s="3"/>
      <c r="I8" s="3" t="s">
        <v>15</v>
      </c>
    </row>
    <row r="9" spans="1:9" ht="30" customHeight="1" x14ac:dyDescent="0.4">
      <c r="A9" s="13"/>
      <c r="B9" s="2" t="s">
        <v>19</v>
      </c>
      <c r="C9" s="2" t="s">
        <v>20</v>
      </c>
      <c r="D9" s="3"/>
      <c r="E9" s="3"/>
      <c r="F9" s="3"/>
      <c r="G9" s="3"/>
      <c r="H9" s="3"/>
      <c r="I9" s="3" t="s">
        <v>15</v>
      </c>
    </row>
    <row r="10" spans="1:9" ht="44.05" customHeight="1" x14ac:dyDescent="0.4">
      <c r="A10" s="22" t="s">
        <v>21</v>
      </c>
      <c r="B10" s="4" t="s">
        <v>22</v>
      </c>
      <c r="C10" s="4" t="s">
        <v>23</v>
      </c>
      <c r="D10" s="3"/>
      <c r="E10" s="3"/>
      <c r="F10" s="3"/>
      <c r="G10" s="3"/>
      <c r="H10" s="3"/>
      <c r="I10" s="3" t="s">
        <v>15</v>
      </c>
    </row>
    <row r="11" spans="1:9" ht="30" customHeight="1" x14ac:dyDescent="0.4">
      <c r="A11" s="17"/>
      <c r="B11" s="4" t="s">
        <v>24</v>
      </c>
      <c r="C11" s="4" t="s">
        <v>23</v>
      </c>
      <c r="D11" s="3"/>
      <c r="E11" s="3"/>
      <c r="F11" s="3"/>
      <c r="G11" s="3"/>
      <c r="H11" s="3"/>
      <c r="I11" s="3" t="s">
        <v>15</v>
      </c>
    </row>
    <row r="12" spans="1:9" ht="44.05" customHeight="1" x14ac:dyDescent="0.4">
      <c r="A12" s="17"/>
      <c r="B12" s="4" t="s">
        <v>25</v>
      </c>
      <c r="C12" s="4" t="s">
        <v>23</v>
      </c>
      <c r="D12" s="3"/>
      <c r="E12" s="3"/>
      <c r="F12" s="3"/>
      <c r="G12" s="3"/>
      <c r="H12" s="3"/>
      <c r="I12" s="3" t="s">
        <v>15</v>
      </c>
    </row>
    <row r="13" spans="1:9" ht="30" customHeight="1" x14ac:dyDescent="0.4">
      <c r="A13" s="17"/>
      <c r="B13" s="4" t="s">
        <v>26</v>
      </c>
      <c r="C13" s="4" t="s">
        <v>23</v>
      </c>
      <c r="D13" s="3"/>
      <c r="E13" s="3"/>
      <c r="F13" s="3"/>
      <c r="G13" s="3"/>
      <c r="H13" s="3"/>
      <c r="I13" s="3" t="s">
        <v>15</v>
      </c>
    </row>
    <row r="14" spans="1:9" ht="30" customHeight="1" x14ac:dyDescent="0.4">
      <c r="A14" s="17"/>
      <c r="B14" s="4" t="s">
        <v>27</v>
      </c>
      <c r="C14" s="4" t="s">
        <v>23</v>
      </c>
      <c r="D14" s="3"/>
      <c r="E14" s="3"/>
      <c r="F14" s="3"/>
      <c r="G14" s="3"/>
      <c r="H14" s="3"/>
      <c r="I14" s="3" t="s">
        <v>15</v>
      </c>
    </row>
    <row r="15" spans="1:9" ht="30" customHeight="1" x14ac:dyDescent="0.4">
      <c r="A15" s="17"/>
      <c r="B15" s="4" t="s">
        <v>28</v>
      </c>
      <c r="C15" s="4" t="s">
        <v>23</v>
      </c>
      <c r="D15" s="3"/>
      <c r="E15" s="3"/>
      <c r="F15" s="3"/>
      <c r="G15" s="3"/>
      <c r="H15" s="3"/>
      <c r="I15" s="3" t="s">
        <v>15</v>
      </c>
    </row>
    <row r="16" spans="1:9" ht="30" customHeight="1" x14ac:dyDescent="0.4">
      <c r="A16" s="17"/>
      <c r="B16" s="4" t="s">
        <v>29</v>
      </c>
      <c r="C16" s="4" t="s">
        <v>23</v>
      </c>
      <c r="D16" s="3"/>
      <c r="E16" s="3"/>
      <c r="F16" s="3"/>
      <c r="G16" s="3"/>
      <c r="H16" s="3"/>
      <c r="I16" s="3" t="s">
        <v>15</v>
      </c>
    </row>
    <row r="17" spans="1:9" ht="30" customHeight="1" x14ac:dyDescent="0.4">
      <c r="A17" s="17"/>
      <c r="B17" s="4" t="s">
        <v>30</v>
      </c>
      <c r="C17" s="4" t="s">
        <v>23</v>
      </c>
      <c r="D17" s="3"/>
      <c r="E17" s="3"/>
      <c r="F17" s="3"/>
      <c r="G17" s="3"/>
      <c r="H17" s="3"/>
      <c r="I17" s="3" t="s">
        <v>15</v>
      </c>
    </row>
    <row r="18" spans="1:9" ht="30" customHeight="1" x14ac:dyDescent="0.4">
      <c r="A18" s="13"/>
      <c r="B18" s="4" t="s">
        <v>31</v>
      </c>
      <c r="C18" s="4" t="s">
        <v>23</v>
      </c>
      <c r="D18" s="3"/>
      <c r="E18" s="3"/>
      <c r="F18" s="3"/>
      <c r="G18" s="3"/>
      <c r="H18" s="3"/>
      <c r="I18" s="3" t="s">
        <v>15</v>
      </c>
    </row>
    <row r="19" spans="1:9" ht="44.05" customHeight="1" x14ac:dyDescent="0.4">
      <c r="A19" s="18" t="s">
        <v>32</v>
      </c>
      <c r="B19" s="5" t="s">
        <v>33</v>
      </c>
      <c r="C19" s="5" t="s">
        <v>34</v>
      </c>
      <c r="D19" s="3"/>
      <c r="E19" s="3"/>
      <c r="F19" s="3"/>
      <c r="G19" s="3"/>
      <c r="H19" s="3"/>
      <c r="I19" s="3" t="s">
        <v>15</v>
      </c>
    </row>
    <row r="20" spans="1:9" ht="30" customHeight="1" x14ac:dyDescent="0.4">
      <c r="A20" s="17"/>
      <c r="B20" s="5" t="s">
        <v>35</v>
      </c>
      <c r="C20" s="5" t="s">
        <v>34</v>
      </c>
      <c r="D20" s="3"/>
      <c r="E20" s="3"/>
      <c r="F20" s="3"/>
      <c r="G20" s="3"/>
      <c r="H20" s="3"/>
      <c r="I20" s="3" t="s">
        <v>15</v>
      </c>
    </row>
    <row r="21" spans="1:9" ht="44.05" customHeight="1" x14ac:dyDescent="0.4">
      <c r="A21" s="17"/>
      <c r="B21" s="5" t="s">
        <v>36</v>
      </c>
      <c r="C21" s="5" t="s">
        <v>34</v>
      </c>
      <c r="D21" s="3"/>
      <c r="E21" s="3"/>
      <c r="F21" s="3"/>
      <c r="G21" s="3"/>
      <c r="H21" s="3"/>
      <c r="I21" s="3" t="s">
        <v>15</v>
      </c>
    </row>
    <row r="22" spans="1:9" ht="30" customHeight="1" x14ac:dyDescent="0.4">
      <c r="A22" s="17"/>
      <c r="B22" s="5" t="s">
        <v>37</v>
      </c>
      <c r="C22" s="5" t="s">
        <v>38</v>
      </c>
      <c r="D22" s="3"/>
      <c r="E22" s="3"/>
      <c r="F22" s="3"/>
      <c r="G22" s="3"/>
      <c r="H22" s="3"/>
      <c r="I22" s="3" t="s">
        <v>15</v>
      </c>
    </row>
    <row r="23" spans="1:9" ht="44.05" customHeight="1" x14ac:dyDescent="0.4">
      <c r="A23" s="17"/>
      <c r="B23" s="5" t="s">
        <v>39</v>
      </c>
      <c r="C23" s="5" t="s">
        <v>40</v>
      </c>
      <c r="D23" s="3"/>
      <c r="E23" s="3"/>
      <c r="F23" s="3"/>
      <c r="G23" s="3"/>
      <c r="H23" s="3"/>
      <c r="I23" s="3" t="s">
        <v>15</v>
      </c>
    </row>
    <row r="24" spans="1:9" ht="30" customHeight="1" x14ac:dyDescent="0.4">
      <c r="A24" s="17"/>
      <c r="B24" s="5" t="s">
        <v>41</v>
      </c>
      <c r="C24" s="5" t="s">
        <v>40</v>
      </c>
      <c r="D24" s="3"/>
      <c r="E24" s="3"/>
      <c r="F24" s="3"/>
      <c r="G24" s="3"/>
      <c r="H24" s="3"/>
      <c r="I24" s="3" t="s">
        <v>15</v>
      </c>
    </row>
    <row r="25" spans="1:9" ht="30" customHeight="1" x14ac:dyDescent="0.4">
      <c r="A25" s="13"/>
      <c r="B25" s="5" t="s">
        <v>42</v>
      </c>
      <c r="C25" s="5" t="s">
        <v>40</v>
      </c>
      <c r="D25" s="3"/>
      <c r="E25" s="3"/>
      <c r="F25" s="3"/>
      <c r="G25" s="3"/>
      <c r="H25" s="3"/>
      <c r="I25" s="3" t="s">
        <v>15</v>
      </c>
    </row>
    <row r="26" spans="1:9" ht="30" customHeight="1" x14ac:dyDescent="0.4">
      <c r="A26" s="16" t="s">
        <v>43</v>
      </c>
      <c r="B26" s="6" t="s">
        <v>44</v>
      </c>
      <c r="C26" s="6" t="s">
        <v>14</v>
      </c>
      <c r="D26" s="3"/>
      <c r="E26" s="3"/>
      <c r="F26" s="3"/>
      <c r="G26" s="3"/>
      <c r="H26" s="3"/>
      <c r="I26" s="3" t="s">
        <v>15</v>
      </c>
    </row>
    <row r="27" spans="1:9" ht="30" customHeight="1" x14ac:dyDescent="0.4">
      <c r="A27" s="17"/>
      <c r="B27" s="6" t="s">
        <v>45</v>
      </c>
      <c r="C27" s="6" t="s">
        <v>40</v>
      </c>
      <c r="D27" s="3"/>
      <c r="E27" s="3"/>
      <c r="F27" s="3"/>
      <c r="G27" s="3"/>
      <c r="H27" s="3"/>
      <c r="I27" s="3" t="s">
        <v>15</v>
      </c>
    </row>
    <row r="28" spans="1:9" ht="30" customHeight="1" x14ac:dyDescent="0.4">
      <c r="A28" s="17"/>
      <c r="B28" s="6" t="s">
        <v>46</v>
      </c>
      <c r="C28" s="6" t="s">
        <v>40</v>
      </c>
      <c r="D28" s="3"/>
      <c r="E28" s="3"/>
      <c r="F28" s="3"/>
      <c r="G28" s="3"/>
      <c r="H28" s="3"/>
      <c r="I28" s="3" t="s">
        <v>15</v>
      </c>
    </row>
    <row r="29" spans="1:9" ht="44.05" customHeight="1" x14ac:dyDescent="0.4">
      <c r="A29" s="17"/>
      <c r="B29" s="6" t="s">
        <v>47</v>
      </c>
      <c r="C29" s="6" t="s">
        <v>48</v>
      </c>
      <c r="D29" s="3"/>
      <c r="E29" s="3"/>
      <c r="F29" s="3"/>
      <c r="G29" s="3"/>
      <c r="H29" s="3"/>
      <c r="I29" s="3" t="s">
        <v>15</v>
      </c>
    </row>
    <row r="30" spans="1:9" ht="30" customHeight="1" x14ac:dyDescent="0.4">
      <c r="A30" s="17"/>
      <c r="B30" s="6" t="s">
        <v>49</v>
      </c>
      <c r="C30" s="6" t="s">
        <v>48</v>
      </c>
      <c r="D30" s="3"/>
      <c r="E30" s="3"/>
      <c r="F30" s="3"/>
      <c r="G30" s="3"/>
      <c r="H30" s="3"/>
      <c r="I30" s="3" t="s">
        <v>15</v>
      </c>
    </row>
    <row r="31" spans="1:9" ht="30" customHeight="1" x14ac:dyDescent="0.4">
      <c r="A31" s="13"/>
      <c r="B31" s="6" t="s">
        <v>50</v>
      </c>
      <c r="C31" s="6" t="s">
        <v>48</v>
      </c>
      <c r="D31" s="3"/>
      <c r="E31" s="3"/>
      <c r="F31" s="3"/>
      <c r="G31" s="3"/>
      <c r="H31" s="3"/>
      <c r="I31" s="3" t="s">
        <v>15</v>
      </c>
    </row>
    <row r="32" spans="1:9" ht="44.05" customHeight="1" x14ac:dyDescent="0.4">
      <c r="A32" s="12" t="s">
        <v>51</v>
      </c>
      <c r="B32" s="7" t="s">
        <v>52</v>
      </c>
      <c r="C32" s="7" t="s">
        <v>40</v>
      </c>
      <c r="D32" s="3"/>
      <c r="E32" s="3"/>
      <c r="F32" s="3"/>
      <c r="G32" s="3"/>
      <c r="H32" s="3"/>
      <c r="I32" s="3" t="s">
        <v>15</v>
      </c>
    </row>
    <row r="33" spans="1:9" ht="30" customHeight="1" x14ac:dyDescent="0.4">
      <c r="A33" s="13"/>
      <c r="B33" s="7" t="s">
        <v>53</v>
      </c>
      <c r="C33" s="7" t="s">
        <v>14</v>
      </c>
      <c r="D33" s="3"/>
      <c r="E33" s="3"/>
      <c r="F33" s="3"/>
      <c r="G33" s="3"/>
      <c r="H33" s="3"/>
      <c r="I33" s="3" t="s">
        <v>15</v>
      </c>
    </row>
    <row r="34" spans="1:9" ht="30" customHeight="1" x14ac:dyDescent="0.4">
      <c r="A34" s="19" t="s">
        <v>54</v>
      </c>
      <c r="B34" s="2" t="s">
        <v>55</v>
      </c>
      <c r="C34" s="2" t="s">
        <v>14</v>
      </c>
      <c r="D34" s="3"/>
      <c r="E34" s="3"/>
      <c r="F34" s="3"/>
      <c r="G34" s="3"/>
      <c r="H34" s="3"/>
      <c r="I34" s="3" t="s">
        <v>15</v>
      </c>
    </row>
    <row r="35" spans="1:9" ht="30" customHeight="1" x14ac:dyDescent="0.4">
      <c r="A35" s="17"/>
      <c r="B35" s="2" t="s">
        <v>56</v>
      </c>
      <c r="C35" s="2" t="s">
        <v>14</v>
      </c>
      <c r="D35" s="3"/>
      <c r="E35" s="3"/>
      <c r="F35" s="3"/>
      <c r="G35" s="3"/>
      <c r="H35" s="3"/>
      <c r="I35" s="3" t="s">
        <v>15</v>
      </c>
    </row>
    <row r="36" spans="1:9" ht="30" customHeight="1" x14ac:dyDescent="0.4">
      <c r="A36" s="17"/>
      <c r="B36" s="2" t="s">
        <v>57</v>
      </c>
      <c r="C36" s="2" t="s">
        <v>14</v>
      </c>
      <c r="D36" s="3"/>
      <c r="E36" s="3"/>
      <c r="F36" s="3"/>
      <c r="G36" s="3"/>
      <c r="H36" s="3"/>
      <c r="I36" s="3" t="s">
        <v>15</v>
      </c>
    </row>
    <row r="37" spans="1:9" ht="44.05" customHeight="1" x14ac:dyDescent="0.4">
      <c r="A37" s="13"/>
      <c r="B37" s="2" t="s">
        <v>58</v>
      </c>
      <c r="C37" s="2" t="s">
        <v>14</v>
      </c>
      <c r="D37" s="3"/>
      <c r="E37" s="3"/>
      <c r="F37" s="3"/>
      <c r="G37" s="3"/>
      <c r="H37" s="3"/>
      <c r="I37" s="3" t="s">
        <v>15</v>
      </c>
    </row>
    <row r="39" spans="1:9" x14ac:dyDescent="0.4">
      <c r="C39" s="8" t="s">
        <v>59</v>
      </c>
      <c r="D39" s="3">
        <f>COUNTIF(D6:D37,"Chính")</f>
        <v>0</v>
      </c>
      <c r="E39" s="3">
        <f>COUNTIF(E6:E37,"Chính")</f>
        <v>0</v>
      </c>
      <c r="F39" s="3">
        <f>COUNTIF(F6:F37,"Chính")</f>
        <v>0</v>
      </c>
      <c r="G39" s="3">
        <f>COUNTIF(G6:G37,"Chính")</f>
        <v>0</v>
      </c>
      <c r="H39" s="3">
        <f>COUNTIF(H6:H37,"Chính")</f>
        <v>0</v>
      </c>
    </row>
    <row r="40" spans="1:9" x14ac:dyDescent="0.4">
      <c r="C40" s="8" t="s">
        <v>60</v>
      </c>
      <c r="D40" s="3">
        <f>COUNTIF(D6:D37,"Hỗ trợ")</f>
        <v>0</v>
      </c>
      <c r="E40" s="3">
        <f>COUNTIF(E6:E37,"Hỗ trợ")</f>
        <v>0</v>
      </c>
      <c r="F40" s="3">
        <f>COUNTIF(F6:F37,"Hỗ trợ")</f>
        <v>0</v>
      </c>
      <c r="G40" s="3">
        <f>COUNTIF(G6:G37,"Hỗ trợ")</f>
        <v>0</v>
      </c>
      <c r="H40" s="3">
        <f>COUNTIF(H6:H37,"Hỗ trợ")</f>
        <v>0</v>
      </c>
    </row>
  </sheetData>
  <mergeCells count="9">
    <mergeCell ref="A1:I1"/>
    <mergeCell ref="A3:I3"/>
    <mergeCell ref="A10:A18"/>
    <mergeCell ref="A32:A33"/>
    <mergeCell ref="A2:I2"/>
    <mergeCell ref="A26:A31"/>
    <mergeCell ref="A19:A25"/>
    <mergeCell ref="A34:A37"/>
    <mergeCell ref="A6:A9"/>
  </mergeCells>
  <dataValidations count="2">
    <dataValidation type="list" allowBlank="1" sqref="D6:H37" xr:uid="{00000000-0002-0000-0000-000000000000}">
      <formula1>"Chính,Hỗ trợ"</formula1>
    </dataValidation>
    <dataValidation type="list" allowBlank="1" sqref="I6:I37" xr:uid="{00000000-0002-0000-0000-000001000000}">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2"/>
  <sheetViews>
    <sheetView workbookViewId="0">
      <pane xSplit="2" ySplit="4" topLeftCell="C5" activePane="bottomRight" state="frozen"/>
      <selection pane="topRight"/>
      <selection pane="bottomLeft"/>
      <selection pane="bottomRight" activeCell="C7" sqref="C7"/>
    </sheetView>
  </sheetViews>
  <sheetFormatPr defaultRowHeight="14.6" x14ac:dyDescent="0.4"/>
  <cols>
    <col min="1" max="1" width="7" customWidth="1"/>
    <col min="2" max="2" width="20" customWidth="1"/>
    <col min="3" max="3" width="34" customWidth="1"/>
    <col min="4" max="4" width="58" customWidth="1"/>
    <col min="5" max="5" width="36" customWidth="1"/>
    <col min="6" max="6" width="26" customWidth="1"/>
    <col min="7" max="7" width="50" customWidth="1"/>
    <col min="8" max="8" width="36" customWidth="1"/>
    <col min="9" max="9" width="12" customWidth="1"/>
  </cols>
  <sheetData>
    <row r="1" spans="1:9" ht="17.600000000000001" x14ac:dyDescent="0.4">
      <c r="A1" s="20" t="s">
        <v>61</v>
      </c>
      <c r="B1" s="15"/>
      <c r="C1" s="15"/>
      <c r="D1" s="15"/>
      <c r="E1" s="15"/>
      <c r="F1" s="15"/>
      <c r="G1" s="15"/>
      <c r="H1" s="15"/>
      <c r="I1" s="15"/>
    </row>
    <row r="2" spans="1:9" x14ac:dyDescent="0.4">
      <c r="A2" s="21" t="s">
        <v>62</v>
      </c>
      <c r="B2" s="15"/>
      <c r="C2" s="15"/>
      <c r="D2" s="15"/>
      <c r="E2" s="15"/>
      <c r="F2" s="15"/>
      <c r="G2" s="15"/>
      <c r="H2" s="15"/>
      <c r="I2" s="15"/>
    </row>
    <row r="4" spans="1:9" ht="28" customHeight="1" x14ac:dyDescent="0.4">
      <c r="A4" s="1" t="s">
        <v>63</v>
      </c>
      <c r="B4" s="1" t="s">
        <v>64</v>
      </c>
      <c r="C4" s="1" t="s">
        <v>65</v>
      </c>
      <c r="D4" s="1" t="s">
        <v>66</v>
      </c>
      <c r="E4" s="1" t="s">
        <v>67</v>
      </c>
      <c r="F4" s="1" t="s">
        <v>68</v>
      </c>
      <c r="G4" s="1" t="s">
        <v>69</v>
      </c>
      <c r="H4" s="1" t="s">
        <v>70</v>
      </c>
      <c r="I4" s="1" t="s">
        <v>71</v>
      </c>
    </row>
    <row r="5" spans="1:9" ht="84" customHeight="1" x14ac:dyDescent="0.4">
      <c r="A5" s="9" t="s">
        <v>72</v>
      </c>
      <c r="B5" s="9" t="s">
        <v>73</v>
      </c>
      <c r="C5" s="10" t="s">
        <v>74</v>
      </c>
      <c r="D5" s="10" t="s">
        <v>75</v>
      </c>
      <c r="E5" s="10" t="s">
        <v>76</v>
      </c>
      <c r="F5" s="10" t="s">
        <v>77</v>
      </c>
      <c r="G5" s="10" t="s">
        <v>78</v>
      </c>
      <c r="H5" s="10" t="s">
        <v>79</v>
      </c>
      <c r="I5" s="10" t="s">
        <v>14</v>
      </c>
    </row>
    <row r="6" spans="1:9" ht="84" customHeight="1" x14ac:dyDescent="0.4">
      <c r="A6" s="9" t="s">
        <v>80</v>
      </c>
      <c r="B6" s="9" t="s">
        <v>81</v>
      </c>
      <c r="C6" s="10" t="s">
        <v>82</v>
      </c>
      <c r="D6" s="10" t="s">
        <v>83</v>
      </c>
      <c r="E6" s="10" t="s">
        <v>84</v>
      </c>
      <c r="F6" s="10" t="s">
        <v>85</v>
      </c>
      <c r="G6" s="10" t="s">
        <v>86</v>
      </c>
      <c r="H6" s="10" t="s">
        <v>87</v>
      </c>
      <c r="I6" s="10" t="s">
        <v>72</v>
      </c>
    </row>
    <row r="7" spans="1:9" ht="56.05" customHeight="1" x14ac:dyDescent="0.4">
      <c r="A7" s="9" t="s">
        <v>88</v>
      </c>
      <c r="B7" s="9" t="s">
        <v>89</v>
      </c>
      <c r="C7" s="10" t="s">
        <v>90</v>
      </c>
      <c r="D7" s="10" t="s">
        <v>91</v>
      </c>
      <c r="E7" s="10" t="s">
        <v>92</v>
      </c>
      <c r="F7" s="10" t="s">
        <v>93</v>
      </c>
      <c r="G7" s="10" t="s">
        <v>94</v>
      </c>
      <c r="H7" s="10" t="s">
        <v>95</v>
      </c>
      <c r="I7" s="10" t="s">
        <v>96</v>
      </c>
    </row>
    <row r="8" spans="1:9" ht="56.05" customHeight="1" x14ac:dyDescent="0.4">
      <c r="A8" s="9" t="s">
        <v>97</v>
      </c>
      <c r="B8" s="9" t="s">
        <v>98</v>
      </c>
      <c r="C8" s="10" t="s">
        <v>99</v>
      </c>
      <c r="D8" s="10" t="s">
        <v>100</v>
      </c>
      <c r="E8" s="10" t="s">
        <v>101</v>
      </c>
      <c r="F8" s="10" t="s">
        <v>102</v>
      </c>
      <c r="G8" s="10" t="s">
        <v>103</v>
      </c>
      <c r="H8" s="10" t="s">
        <v>104</v>
      </c>
      <c r="I8" s="10" t="s">
        <v>88</v>
      </c>
    </row>
    <row r="9" spans="1:9" ht="84" customHeight="1" x14ac:dyDescent="0.4">
      <c r="A9" s="9" t="s">
        <v>105</v>
      </c>
      <c r="B9" s="9" t="s">
        <v>106</v>
      </c>
      <c r="C9" s="10" t="s">
        <v>107</v>
      </c>
      <c r="D9" s="10" t="s">
        <v>108</v>
      </c>
      <c r="E9" s="10" t="s">
        <v>109</v>
      </c>
      <c r="F9" s="10" t="s">
        <v>110</v>
      </c>
      <c r="G9" s="7" t="s">
        <v>111</v>
      </c>
      <c r="H9" s="10" t="s">
        <v>112</v>
      </c>
      <c r="I9" s="10" t="s">
        <v>80</v>
      </c>
    </row>
    <row r="10" spans="1:9" ht="56.05" customHeight="1" x14ac:dyDescent="0.4">
      <c r="A10" s="9" t="s">
        <v>113</v>
      </c>
      <c r="B10" s="9" t="s">
        <v>114</v>
      </c>
      <c r="C10" s="10" t="s">
        <v>115</v>
      </c>
      <c r="D10" s="10" t="s">
        <v>116</v>
      </c>
      <c r="E10" s="10" t="s">
        <v>117</v>
      </c>
      <c r="F10" s="10" t="s">
        <v>118</v>
      </c>
      <c r="G10" s="10" t="s">
        <v>119</v>
      </c>
      <c r="H10" s="10" t="s">
        <v>120</v>
      </c>
      <c r="I10" s="10" t="s">
        <v>105</v>
      </c>
    </row>
    <row r="11" spans="1:9" ht="84" customHeight="1" x14ac:dyDescent="0.4">
      <c r="A11" s="9" t="s">
        <v>121</v>
      </c>
      <c r="B11" s="9" t="s">
        <v>122</v>
      </c>
      <c r="C11" s="10" t="s">
        <v>123</v>
      </c>
      <c r="D11" s="10" t="s">
        <v>124</v>
      </c>
      <c r="E11" s="10" t="s">
        <v>125</v>
      </c>
      <c r="F11" s="10" t="s">
        <v>126</v>
      </c>
      <c r="G11" s="10" t="s">
        <v>127</v>
      </c>
      <c r="H11" s="10" t="s">
        <v>128</v>
      </c>
      <c r="I11" s="10" t="s">
        <v>129</v>
      </c>
    </row>
    <row r="12" spans="1:9" ht="56.05" customHeight="1" x14ac:dyDescent="0.4">
      <c r="A12" s="9" t="s">
        <v>130</v>
      </c>
      <c r="B12" s="9" t="s">
        <v>131</v>
      </c>
      <c r="C12" s="10" t="s">
        <v>132</v>
      </c>
      <c r="D12" s="10" t="s">
        <v>133</v>
      </c>
      <c r="E12" s="10" t="s">
        <v>134</v>
      </c>
      <c r="F12" s="10" t="s">
        <v>135</v>
      </c>
      <c r="G12" s="10" t="s">
        <v>136</v>
      </c>
      <c r="H12" s="10" t="s">
        <v>137</v>
      </c>
      <c r="I12" s="10" t="s">
        <v>138</v>
      </c>
    </row>
    <row r="13" spans="1:9" ht="56.05" customHeight="1" x14ac:dyDescent="0.4">
      <c r="A13" s="9" t="s">
        <v>139</v>
      </c>
      <c r="B13" s="9" t="s">
        <v>140</v>
      </c>
      <c r="C13" s="10" t="s">
        <v>141</v>
      </c>
      <c r="D13" s="10" t="s">
        <v>142</v>
      </c>
      <c r="E13" s="10" t="s">
        <v>143</v>
      </c>
      <c r="F13" s="10" t="s">
        <v>144</v>
      </c>
      <c r="G13" s="10" t="s">
        <v>145</v>
      </c>
      <c r="H13" s="10" t="s">
        <v>146</v>
      </c>
      <c r="I13" s="10" t="s">
        <v>130</v>
      </c>
    </row>
    <row r="14" spans="1:9" ht="70" customHeight="1" x14ac:dyDescent="0.4">
      <c r="A14" s="9" t="s">
        <v>147</v>
      </c>
      <c r="B14" s="9" t="s">
        <v>148</v>
      </c>
      <c r="C14" s="10" t="s">
        <v>149</v>
      </c>
      <c r="D14" s="10" t="s">
        <v>150</v>
      </c>
      <c r="E14" s="10" t="s">
        <v>151</v>
      </c>
      <c r="F14" s="10" t="s">
        <v>152</v>
      </c>
      <c r="G14" s="10" t="s">
        <v>153</v>
      </c>
      <c r="H14" s="10" t="s">
        <v>154</v>
      </c>
      <c r="I14" s="10" t="s">
        <v>130</v>
      </c>
    </row>
    <row r="15" spans="1:9" ht="56.05" customHeight="1" x14ac:dyDescent="0.4">
      <c r="A15" s="9" t="s">
        <v>155</v>
      </c>
      <c r="B15" s="9" t="s">
        <v>156</v>
      </c>
      <c r="C15" s="10" t="s">
        <v>157</v>
      </c>
      <c r="D15" s="10" t="s">
        <v>158</v>
      </c>
      <c r="E15" s="10" t="s">
        <v>159</v>
      </c>
      <c r="F15" s="10" t="s">
        <v>160</v>
      </c>
      <c r="G15" s="10" t="s">
        <v>161</v>
      </c>
      <c r="H15" s="10" t="s">
        <v>162</v>
      </c>
      <c r="I15" s="10" t="s">
        <v>147</v>
      </c>
    </row>
    <row r="17" spans="1:9" x14ac:dyDescent="0.4">
      <c r="A17" s="11" t="s">
        <v>163</v>
      </c>
    </row>
    <row r="18" spans="1:9" ht="30" customHeight="1" x14ac:dyDescent="0.4">
      <c r="A18" s="23" t="s">
        <v>164</v>
      </c>
      <c r="B18" s="15"/>
      <c r="C18" s="15"/>
      <c r="D18" s="15"/>
      <c r="E18" s="15"/>
      <c r="F18" s="15"/>
      <c r="G18" s="15"/>
      <c r="H18" s="15"/>
      <c r="I18" s="15"/>
    </row>
    <row r="19" spans="1:9" ht="30" customHeight="1" x14ac:dyDescent="0.4">
      <c r="A19" s="23" t="s">
        <v>165</v>
      </c>
      <c r="B19" s="15"/>
      <c r="C19" s="15"/>
      <c r="D19" s="15"/>
      <c r="E19" s="15"/>
      <c r="F19" s="15"/>
      <c r="G19" s="15"/>
      <c r="H19" s="15"/>
      <c r="I19" s="15"/>
    </row>
    <row r="20" spans="1:9" ht="30" customHeight="1" x14ac:dyDescent="0.4">
      <c r="A20" s="23" t="s">
        <v>166</v>
      </c>
      <c r="B20" s="15"/>
      <c r="C20" s="15"/>
      <c r="D20" s="15"/>
      <c r="E20" s="15"/>
      <c r="F20" s="15"/>
      <c r="G20" s="15"/>
      <c r="H20" s="15"/>
      <c r="I20" s="15"/>
    </row>
    <row r="21" spans="1:9" ht="30" customHeight="1" x14ac:dyDescent="0.4">
      <c r="A21" s="23" t="s">
        <v>167</v>
      </c>
      <c r="B21" s="15"/>
      <c r="C21" s="15"/>
      <c r="D21" s="15"/>
      <c r="E21" s="15"/>
      <c r="F21" s="15"/>
      <c r="G21" s="15"/>
      <c r="H21" s="15"/>
      <c r="I21" s="15"/>
    </row>
    <row r="22" spans="1:9" ht="30" customHeight="1" x14ac:dyDescent="0.4">
      <c r="A22" s="23" t="s">
        <v>168</v>
      </c>
      <c r="B22" s="15"/>
      <c r="C22" s="15"/>
      <c r="D22" s="15"/>
      <c r="E22" s="15"/>
      <c r="F22" s="15"/>
      <c r="G22" s="15"/>
      <c r="H22" s="15"/>
      <c r="I22" s="15"/>
    </row>
  </sheetData>
  <mergeCells count="7">
    <mergeCell ref="A19:I19"/>
    <mergeCell ref="A2:I2"/>
    <mergeCell ref="A1:I1"/>
    <mergeCell ref="A18:I18"/>
    <mergeCell ref="A22:I22"/>
    <mergeCell ref="A20:I20"/>
    <mergeCell ref="A21:I2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Phan cong</vt:lpstr>
      <vt:lpstr>Cap do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Đình Lộc</cp:lastModifiedBy>
  <dcterms:created xsi:type="dcterms:W3CDTF">2026-09-17T14:51:54Z</dcterms:created>
  <dcterms:modified xsi:type="dcterms:W3CDTF">2026-09-17T15:00:40Z</dcterms:modified>
</cp:coreProperties>
</file>