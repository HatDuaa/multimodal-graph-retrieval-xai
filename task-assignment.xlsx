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han cong" sheetId="1" state="visible" r:id="rId1"/>
    <sheet xmlns:r="http://schemas.openxmlformats.org/officeDocument/2006/relationships" name="Cap do 1"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sz val="11"/>
    </font>
    <font>
      <name val="Arial"/>
      <i val="1"/>
      <color rgb="007F7F7F"/>
      <sz val="10"/>
    </font>
    <font>
      <name val="Arial"/>
      <b val="1"/>
      <color rgb="00FFFFFF"/>
    </font>
    <font>
      <name val="Arial"/>
      <b val="1"/>
      <sz val="10"/>
    </font>
    <font>
      <name val="Arial"/>
      <sz val="10"/>
    </font>
    <font>
      <name val="Arial"/>
      <b val="1"/>
      <sz val="11"/>
    </font>
  </fonts>
  <fills count="8">
    <fill>
      <patternFill/>
    </fill>
    <fill>
      <patternFill patternType="gray125"/>
    </fill>
    <fill>
      <patternFill patternType="solid">
        <fgColor rgb="002C5361"/>
      </patternFill>
    </fill>
    <fill>
      <patternFill patternType="solid">
        <fgColor rgb="00F2F2F2"/>
      </patternFill>
    </fill>
    <fill>
      <patternFill patternType="solid">
        <fgColor rgb="00E8F3F1"/>
      </patternFill>
    </fill>
    <fill>
      <patternFill patternType="solid">
        <fgColor rgb="00FDF3E1"/>
      </patternFill>
    </fill>
    <fill>
      <patternFill patternType="solid">
        <fgColor rgb="00EEE8F7"/>
      </patternFill>
    </fill>
    <fill>
      <patternFill patternType="solid">
        <fgColor rgb="00FBE9E5"/>
      </patternFill>
    </fill>
  </fills>
  <borders count="5">
    <border>
      <left/>
      <right/>
      <top/>
      <bottom/>
      <diagonal/>
    </border>
    <border>
      <left style="thin">
        <color rgb="00BFBFBF"/>
      </left>
      <right style="thin">
        <color rgb="00BFBFBF"/>
      </right>
      <top style="thin">
        <color rgb="00BFBFBF"/>
      </top>
      <bottom style="thin">
        <color rgb="00BFBFBF"/>
      </bottom>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5" fillId="3" borderId="1" applyAlignment="1" pivotButton="0" quotePrefix="0" xfId="0">
      <alignment vertical="center" wrapText="1"/>
    </xf>
    <xf numFmtId="0" fontId="6" fillId="3" borderId="1" applyAlignment="1" pivotButton="0" quotePrefix="0" xfId="0">
      <alignment vertical="top" wrapText="1"/>
    </xf>
    <xf numFmtId="0" fontId="6" fillId="0" borderId="1" applyAlignment="1" pivotButton="0" quotePrefix="0" xfId="0">
      <alignment horizontal="center" vertical="center"/>
    </xf>
    <xf numFmtId="0" fontId="0" fillId="0" borderId="3" pivotButton="0" quotePrefix="0" xfId="0"/>
    <xf numFmtId="0" fontId="0" fillId="0" borderId="4" pivotButton="0" quotePrefix="0" xfId="0"/>
    <xf numFmtId="0" fontId="5" fillId="4" borderId="1" applyAlignment="1" pivotButton="0" quotePrefix="0" xfId="0">
      <alignment vertical="center" wrapText="1"/>
    </xf>
    <xf numFmtId="0" fontId="6" fillId="4" borderId="1" applyAlignment="1" pivotButton="0" quotePrefix="0" xfId="0">
      <alignment vertical="top" wrapText="1"/>
    </xf>
    <xf numFmtId="0" fontId="5" fillId="5" borderId="1" applyAlignment="1" pivotButton="0" quotePrefix="0" xfId="0">
      <alignment vertical="center" wrapText="1"/>
    </xf>
    <xf numFmtId="0" fontId="6" fillId="5" borderId="1" applyAlignment="1" pivotButton="0" quotePrefix="0" xfId="0">
      <alignment vertical="top" wrapText="1"/>
    </xf>
    <xf numFmtId="0" fontId="5" fillId="6" borderId="1" applyAlignment="1" pivotButton="0" quotePrefix="0" xfId="0">
      <alignment vertical="center" wrapText="1"/>
    </xf>
    <xf numFmtId="0" fontId="6" fillId="6" borderId="1" applyAlignment="1" pivotButton="0" quotePrefix="0" xfId="0">
      <alignment vertical="top" wrapText="1"/>
    </xf>
    <xf numFmtId="0" fontId="5" fillId="7" borderId="1" applyAlignment="1" pivotButton="0" quotePrefix="0" xfId="0">
      <alignment vertical="center" wrapText="1"/>
    </xf>
    <xf numFmtId="0" fontId="6" fillId="7" borderId="1" applyAlignment="1" pivotButton="0" quotePrefix="0" xfId="0">
      <alignment vertical="top" wrapText="1"/>
    </xf>
    <xf numFmtId="0" fontId="5" fillId="0" borderId="0" pivotButton="0" quotePrefix="0" xfId="0"/>
    <xf numFmtId="0" fontId="5" fillId="4" borderId="1" applyAlignment="1" pivotButton="0" quotePrefix="0" xfId="0">
      <alignment vertical="top" wrapText="1"/>
    </xf>
    <xf numFmtId="0" fontId="6" fillId="0" borderId="1" applyAlignment="1" pivotButton="0" quotePrefix="0" xfId="0">
      <alignment vertical="top" wrapText="1"/>
    </xf>
    <xf numFmtId="0" fontId="7" fillId="0" borderId="0" pivotButton="0" quotePrefix="0" xfId="0"/>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1"/>
  <sheetViews>
    <sheetView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62" customWidth="1" min="2" max="2"/>
    <col width="24" customWidth="1" min="3" max="3"/>
    <col width="16" customWidth="1" min="4" max="4"/>
    <col width="16" customWidth="1" min="5" max="5"/>
    <col width="16" customWidth="1" min="6" max="6"/>
    <col width="16" customWidth="1" min="7" max="7"/>
    <col width="16" customWidth="1" min="8" max="8"/>
    <col width="14" customWidth="1" min="9" max="9"/>
  </cols>
  <sheetData>
    <row r="1">
      <c r="A1" s="1" t="inlineStr">
        <is>
          <t>Khung phân công — Project 3: Truy vấn đa phương thức có giải thích bằng đồ thị</t>
        </is>
      </c>
    </row>
    <row r="2">
      <c r="A2" s="2" t="inlineStr">
        <is>
          <t>Nhóm 7 · Môn Học máy với dữ liệu đồ thị · GVHD: TS. Lê Ngọc Thành</t>
        </is>
      </c>
    </row>
    <row r="3" ht="30" customHeight="1">
      <c r="A3" s="3" t="inlineStr">
        <is>
          <t>Cách điền: mỗi người tự chọn việc ở cột của mình (D–H), chọn "Chính" hoặc "Hỗ trợ" từ danh sách. Mỗi việc cần đúng một người "Chính". Cột Trạng thái chọn từ danh sách. Khung lập ngày 2026-09-17.</t>
        </is>
      </c>
    </row>
    <row r="5" ht="34" customHeight="1">
      <c r="A5" s="4" t="inlineStr">
        <is>
          <t>Giai đoạn</t>
        </is>
      </c>
      <c r="B5" s="4" t="inlineStr">
        <is>
          <t>Công việc</t>
        </is>
      </c>
      <c r="C5" s="4" t="inlineStr">
        <is>
          <t>Bộ dữ liệu</t>
        </is>
      </c>
      <c r="D5" s="4" t="inlineStr">
        <is>
          <t>Nguyễn Đình Lộc
25C11050</t>
        </is>
      </c>
      <c r="E5" s="4" t="inlineStr">
        <is>
          <t>Ngô Trương Minh Đạt
25C15003</t>
        </is>
      </c>
      <c r="F5" s="4" t="inlineStr">
        <is>
          <t>Trần Đắc Khoa
25C15015</t>
        </is>
      </c>
      <c r="G5" s="4" t="inlineStr">
        <is>
          <t>Nguyễn Bùi Mẫn Nhi
25C15055</t>
        </is>
      </c>
      <c r="H5" s="4" t="inlineStr">
        <is>
          <t>Âu Dương Khang
25C15045</t>
        </is>
      </c>
      <c r="I5" s="4" t="inlineStr">
        <is>
          <t>Trạng thái</t>
        </is>
      </c>
    </row>
    <row r="6" ht="30" customHeight="1">
      <c r="A6" s="5" t="inlineStr">
        <is>
          <t>0. Nền chung</t>
        </is>
      </c>
      <c r="B6" s="6" t="inlineStr">
        <is>
          <t>Khung repo, config theo seed, requirements, script tải dữ liệu</t>
        </is>
      </c>
      <c r="C6" s="6" t="inlineStr">
        <is>
          <t>—</t>
        </is>
      </c>
      <c r="D6" s="7" t="inlineStr">
        <is>
          <t>Chính</t>
        </is>
      </c>
      <c r="E6" s="7" t="n"/>
      <c r="F6" s="7" t="n"/>
      <c r="G6" s="7" t="n"/>
      <c r="H6" s="7" t="n"/>
      <c r="I6" s="7" t="inlineStr">
        <is>
          <t>Xong</t>
        </is>
      </c>
    </row>
    <row r="7" ht="30" customHeight="1">
      <c r="A7" s="8" t="n"/>
      <c r="B7" s="6" t="inlineStr">
        <is>
          <t>Module trích đặc trưng CLIP (ảnh + text), lưu .npy, index FAISS</t>
        </is>
      </c>
      <c r="C7" s="6" t="inlineStr">
        <is>
          <t>dùng chung</t>
        </is>
      </c>
      <c r="D7" s="7" t="inlineStr">
        <is>
          <t>Chính</t>
        </is>
      </c>
      <c r="E7" s="7" t="n"/>
      <c r="F7" s="7" t="n"/>
      <c r="G7" s="7" t="n"/>
      <c r="H7" s="7" t="n"/>
      <c r="I7" s="7" t="inlineStr">
        <is>
          <t>Xong</t>
        </is>
      </c>
    </row>
    <row r="8" ht="30" customHeight="1">
      <c r="A8" s="8" t="n"/>
      <c r="B8" s="6" t="inlineStr">
        <is>
          <t>Module đánh giá: Recall@1/5/10, MRR, mean ± std qua ≥3 seed</t>
        </is>
      </c>
      <c r="C8" s="6" t="inlineStr">
        <is>
          <t>dùng chung</t>
        </is>
      </c>
      <c r="D8" s="7" t="inlineStr">
        <is>
          <t>Chính</t>
        </is>
      </c>
      <c r="E8" s="7" t="n"/>
      <c r="F8" s="7" t="n"/>
      <c r="G8" s="7" t="n"/>
      <c r="H8" s="7" t="n"/>
      <c r="I8" s="7" t="inlineStr">
        <is>
          <t>Xong</t>
        </is>
      </c>
    </row>
    <row r="9" ht="30" customHeight="1">
      <c r="A9" s="9" t="n"/>
      <c r="B9" s="6" t="inlineStr">
        <is>
          <t>Thử CLIP đa ngữ với truy vấn tiếng Việt, chốt encoder cho cả project</t>
        </is>
      </c>
      <c r="C9" s="6" t="inlineStr">
        <is>
          <t>vài câu thử</t>
        </is>
      </c>
      <c r="D9" s="7" t="n"/>
      <c r="E9" s="7" t="n"/>
      <c r="F9" s="7" t="n"/>
      <c r="G9" s="7" t="n"/>
      <c r="H9" s="7" t="n"/>
      <c r="I9" s="7" t="inlineStr">
        <is>
          <t>Chưa bắt đầu</t>
        </is>
      </c>
    </row>
    <row r="10" ht="44" customHeight="1">
      <c r="A10" s="10" t="inlineStr">
        <is>
          <t>1. Cấp độ 1 (trần 7.0)</t>
        </is>
      </c>
      <c r="B10" s="11" t="inlineStr">
        <is>
          <t>Dữ liệu: join theo coco_id, lấy toàn bộ phần giao (không lấy mẫu), split Karpathy, lưu file split</t>
        </is>
      </c>
      <c r="C10" s="11" t="inlineStr">
        <is>
          <t>Visual Genome ∩ COCO</t>
        </is>
      </c>
      <c r="D10" s="7" t="inlineStr">
        <is>
          <t>Chính</t>
        </is>
      </c>
      <c r="E10" s="7" t="n"/>
      <c r="F10" s="7" t="n"/>
      <c r="G10" s="7" t="n"/>
      <c r="H10" s="7" t="n"/>
      <c r="I10" s="7" t="inlineStr">
        <is>
          <t>Xong</t>
        </is>
      </c>
    </row>
    <row r="11" ht="30" customHeight="1">
      <c r="A11" s="8" t="n"/>
      <c r="B11" s="11" t="inlineStr">
        <is>
          <t>Baseline CLIP thuần: caption → top-k</t>
        </is>
      </c>
      <c r="C11" s="11" t="inlineStr">
        <is>
          <t>Visual Genome ∩ COCO</t>
        </is>
      </c>
      <c r="D11" s="7" t="inlineStr">
        <is>
          <t>Chính</t>
        </is>
      </c>
      <c r="E11" s="7" t="n"/>
      <c r="F11" s="7" t="n"/>
      <c r="G11" s="7" t="n"/>
      <c r="H11" s="7" t="n"/>
      <c r="I11" s="7" t="inlineStr">
        <is>
          <t>Xong</t>
        </is>
      </c>
    </row>
    <row r="12" ht="44" customHeight="1">
      <c r="A12" s="8" t="n"/>
      <c r="B12" s="11" t="inlineStr">
        <is>
          <t>Dựng đồ thị: lọc VG150, node ảnh + node khái niệm, cạnh chứa + quan hệ, cạnh ConceptNet</t>
        </is>
      </c>
      <c r="C12" s="11" t="inlineStr">
        <is>
          <t>Visual Genome ∩ COCO</t>
        </is>
      </c>
      <c r="D12" s="7" t="n"/>
      <c r="E12" s="7" t="n"/>
      <c r="F12" s="7" t="n"/>
      <c r="G12" s="7" t="n"/>
      <c r="H12" s="7" t="n"/>
      <c r="I12" s="7" t="inlineStr">
        <is>
          <t>Chưa bắt đầu</t>
        </is>
      </c>
    </row>
    <row r="13" ht="30" customHeight="1">
      <c r="A13" s="8" t="n"/>
      <c r="B13" s="11" t="inlineStr">
        <is>
          <t>Nối truy vấn vào đồ thị: tách danh từ/động từ, khớp vào node khái niệm</t>
        </is>
      </c>
      <c r="C13" s="11" t="inlineStr">
        <is>
          <t>Visual Genome ∩ COCO</t>
        </is>
      </c>
      <c r="D13" s="7" t="n"/>
      <c r="E13" s="7" t="n"/>
      <c r="F13" s="7" t="n"/>
      <c r="G13" s="7" t="n"/>
      <c r="H13" s="7" t="n"/>
      <c r="I13" s="7" t="inlineStr">
        <is>
          <t>Chưa bắt đầu</t>
        </is>
      </c>
    </row>
    <row r="14" ht="30" customHeight="1">
      <c r="A14" s="8" t="n"/>
      <c r="B14" s="11" t="inlineStr">
        <is>
          <t>GNN (GAT) và điểm đồ thị cho từng ứng viên trong top-k</t>
        </is>
      </c>
      <c r="C14" s="11" t="inlineStr">
        <is>
          <t>Visual Genome ∩ COCO</t>
        </is>
      </c>
      <c r="D14" s="7" t="n"/>
      <c r="E14" s="7" t="n"/>
      <c r="F14" s="7" t="n"/>
      <c r="G14" s="7" t="n"/>
      <c r="H14" s="7" t="n"/>
      <c r="I14" s="7" t="inlineStr">
        <is>
          <t>Chưa bắt đầu</t>
        </is>
      </c>
    </row>
    <row r="15" ht="30" customHeight="1">
      <c r="A15" s="8" t="n"/>
      <c r="B15" s="11" t="inlineStr">
        <is>
          <t>Re-rank α·cosine + (1−α)·điểm đồ thị, chọn α trên validation</t>
        </is>
      </c>
      <c r="C15" s="11" t="inlineStr">
        <is>
          <t>Visual Genome ∩ COCO</t>
        </is>
      </c>
      <c r="D15" s="7" t="n"/>
      <c r="E15" s="7" t="n"/>
      <c r="F15" s="7" t="n"/>
      <c r="G15" s="7" t="n"/>
      <c r="H15" s="7" t="n"/>
      <c r="I15" s="7" t="inlineStr">
        <is>
          <t>Chưa bắt đầu</t>
        </is>
      </c>
    </row>
    <row r="16" ht="30" customHeight="1">
      <c r="A16" s="8" t="n"/>
      <c r="B16" s="11" t="inlineStr">
        <is>
          <t>Ablation: bỏ cạnh quan hệ, xáo cạnh, đồ thị ngẫu nhiên</t>
        </is>
      </c>
      <c r="C16" s="11" t="inlineStr">
        <is>
          <t>Visual Genome ∩ COCO</t>
        </is>
      </c>
      <c r="D16" s="7" t="n"/>
      <c r="E16" s="7" t="n"/>
      <c r="F16" s="7" t="n"/>
      <c r="G16" s="7" t="n"/>
      <c r="H16" s="7" t="n"/>
      <c r="I16" s="7" t="inlineStr">
        <is>
          <t>Chưa bắt đầu</t>
        </is>
      </c>
    </row>
    <row r="17" ht="30" customHeight="1">
      <c r="A17" s="8" t="n"/>
      <c r="B17" s="11" t="inlineStr">
        <is>
          <t>Giải thích cơ bản: trích cạnh/đường đi đóng góp vào điểm đồ thị</t>
        </is>
      </c>
      <c r="C17" s="11" t="inlineStr">
        <is>
          <t>Visual Genome ∩ COCO</t>
        </is>
      </c>
      <c r="D17" s="7" t="n"/>
      <c r="E17" s="7" t="n"/>
      <c r="F17" s="7" t="n"/>
      <c r="G17" s="7" t="n"/>
      <c r="H17" s="7" t="n"/>
      <c r="I17" s="7" t="inlineStr">
        <is>
          <t>Chưa bắt đầu</t>
        </is>
      </c>
    </row>
    <row r="18" ht="44" customHeight="1">
      <c r="A18" s="8" t="n"/>
      <c r="B18" s="11" t="inlineStr">
        <is>
          <t>Platform demo (web app): nhập truy vấn → top-k ảnh, so CLIP thuần với CLIP + Graph, hiển thị đường đi giải thích; dựng trên baseline trước, cắm thêm đồ thị sau</t>
        </is>
      </c>
      <c r="C18" s="11" t="inlineStr">
        <is>
          <t>Visual Genome ∩ COCO</t>
        </is>
      </c>
      <c r="D18" s="7" t="inlineStr">
        <is>
          <t>Chính</t>
        </is>
      </c>
      <c r="E18" s="7" t="n"/>
      <c r="F18" s="7" t="n"/>
      <c r="G18" s="7" t="n"/>
      <c r="H18" s="7" t="n"/>
      <c r="I18" s="7" t="inlineStr">
        <is>
          <t>Đang làm</t>
        </is>
      </c>
    </row>
    <row r="19" ht="30" customHeight="1">
      <c r="A19" s="9" t="n"/>
      <c r="B19" s="11" t="inlineStr">
        <is>
          <t>Phân tích 5 truy vấn thành công + 5 thất bại</t>
        </is>
      </c>
      <c r="C19" s="11" t="inlineStr">
        <is>
          <t>Visual Genome ∩ COCO</t>
        </is>
      </c>
      <c r="D19" s="7" t="n"/>
      <c r="E19" s="7" t="n"/>
      <c r="F19" s="7" t="n"/>
      <c r="G19" s="7" t="n"/>
      <c r="H19" s="7" t="n"/>
      <c r="I19" s="7" t="inlineStr">
        <is>
          <t>Chưa bắt đầu</t>
        </is>
      </c>
    </row>
    <row r="20" ht="44" customHeight="1">
      <c r="A20" s="12" t="inlineStr">
        <is>
          <t>2. Cấp độ 2 (trần 8.5)</t>
        </is>
      </c>
      <c r="B20" s="13" t="inlineStr">
        <is>
          <t>Dữ liệu MKG-W: kiểm tra ảnh gốc + mô tả text, sinh truy vấn từ mô tả đã che tên, chia truy vấn và triple theo split</t>
        </is>
      </c>
      <c r="C20" s="13" t="inlineStr">
        <is>
          <t>MKG-W</t>
        </is>
      </c>
      <c r="D20" s="7" t="n"/>
      <c r="E20" s="7" t="n"/>
      <c r="F20" s="7" t="n"/>
      <c r="G20" s="7" t="n"/>
      <c r="H20" s="7" t="n"/>
      <c r="I20" s="7" t="inlineStr">
        <is>
          <t>Chưa bắt đầu</t>
        </is>
      </c>
    </row>
    <row r="21" ht="30" customHeight="1">
      <c r="A21" s="8" t="n"/>
      <c r="B21" s="13" t="inlineStr">
        <is>
          <t>Chạy lại CLIP thuần và CLIP + GNN trên MKG-W</t>
        </is>
      </c>
      <c r="C21" s="13" t="inlineStr">
        <is>
          <t>MKG-W</t>
        </is>
      </c>
      <c r="D21" s="7" t="n"/>
      <c r="E21" s="7" t="n"/>
      <c r="F21" s="7" t="n"/>
      <c r="G21" s="7" t="n"/>
      <c r="H21" s="7" t="n"/>
      <c r="I21" s="7" t="inlineStr">
        <is>
          <t>Chưa bắt đầu</t>
        </is>
      </c>
    </row>
    <row r="22" ht="44" customHeight="1">
      <c r="A22" s="8" t="n"/>
      <c r="B22" s="13" t="inlineStr">
        <is>
          <t>Tái lập NativE hoặc AdaMF-MAT, bước a: link prediction gốc, so với số trong bài báo</t>
        </is>
      </c>
      <c r="C22" s="13" t="inlineStr">
        <is>
          <t>MKG-W</t>
        </is>
      </c>
      <c r="D22" s="7" t="n"/>
      <c r="E22" s="7" t="n"/>
      <c r="F22" s="7" t="n"/>
      <c r="G22" s="7" t="n"/>
      <c r="H22" s="7" t="n"/>
      <c r="I22" s="7" t="inlineStr">
        <is>
          <t>Chưa bắt đầu</t>
        </is>
      </c>
    </row>
    <row r="23" ht="30" customHeight="1">
      <c r="A23" s="8" t="n"/>
      <c r="B23" s="13" t="inlineStr">
        <is>
          <t>Tái lập, bước b: dùng embedding thực thể thay GNN trong điểm đồ thị</t>
        </is>
      </c>
      <c r="C23" s="13" t="inlineStr">
        <is>
          <t>MKG-W (+ Visual Genome nếu kịp)</t>
        </is>
      </c>
      <c r="D23" s="7" t="n"/>
      <c r="E23" s="7" t="n"/>
      <c r="F23" s="7" t="n"/>
      <c r="G23" s="7" t="n"/>
      <c r="H23" s="7" t="n"/>
      <c r="I23" s="7" t="inlineStr">
        <is>
          <t>Chưa bắt đầu</t>
        </is>
      </c>
    </row>
    <row r="24" ht="44" customHeight="1">
      <c r="A24" s="8" t="n"/>
      <c r="B24" s="13" t="inlineStr">
        <is>
          <t>Soạn bộ ≥20 truy vấn mỗi tập (trực tiếp, gián tiếp, đảo quan hệ) + mô tả cách xây và kiểm tra</t>
        </is>
      </c>
      <c r="C24" s="13" t="inlineStr">
        <is>
          <t>Visual Genome ∩ COCO, MKG-W</t>
        </is>
      </c>
      <c r="D24" s="7" t="n"/>
      <c r="E24" s="7" t="n"/>
      <c r="F24" s="7" t="n"/>
      <c r="G24" s="7" t="n"/>
      <c r="H24" s="7" t="n"/>
      <c r="I24" s="7" t="inlineStr">
        <is>
          <t>Chưa bắt đầu</t>
        </is>
      </c>
    </row>
    <row r="25" ht="30" customHeight="1">
      <c r="A25" s="8" t="n"/>
      <c r="B25" s="13" t="inlineStr">
        <is>
          <t>Báo cáo kết quả tách nhóm trực tiếp / gián tiếp</t>
        </is>
      </c>
      <c r="C25" s="13" t="inlineStr">
        <is>
          <t>Visual Genome ∩ COCO, MKG-W</t>
        </is>
      </c>
      <c r="D25" s="7" t="n"/>
      <c r="E25" s="7" t="n"/>
      <c r="F25" s="7" t="n"/>
      <c r="G25" s="7" t="n"/>
      <c r="H25" s="7" t="n"/>
      <c r="I25" s="7" t="inlineStr">
        <is>
          <t>Chưa bắt đầu</t>
        </is>
      </c>
    </row>
    <row r="26" ht="30" customHeight="1">
      <c r="A26" s="9" t="n"/>
      <c r="B26" s="13" t="inlineStr">
        <is>
          <t>Mở rộng (chọn 1–2): độ nhạy theo α, so các cách tạo cạnh</t>
        </is>
      </c>
      <c r="C26" s="13" t="inlineStr">
        <is>
          <t>Visual Genome ∩ COCO, MKG-W</t>
        </is>
      </c>
      <c r="D26" s="7" t="n"/>
      <c r="E26" s="7" t="n"/>
      <c r="F26" s="7" t="n"/>
      <c r="G26" s="7" t="n"/>
      <c r="H26" s="7" t="n"/>
      <c r="I26" s="7" t="inlineStr">
        <is>
          <t>Chưa bắt đầu</t>
        </is>
      </c>
    </row>
    <row r="27" ht="30" customHeight="1">
      <c r="A27" s="14" t="inlineStr">
        <is>
          <t>3. Cấp độ 3 (trần 10)</t>
        </is>
      </c>
      <c r="B27" s="15" t="inlineStr">
        <is>
          <t>Chốt định nghĩa fidelity / validity / sparsity</t>
        </is>
      </c>
      <c r="C27" s="15" t="inlineStr">
        <is>
          <t>—</t>
        </is>
      </c>
      <c r="D27" s="7" t="n"/>
      <c r="E27" s="7" t="n"/>
      <c r="F27" s="7" t="n"/>
      <c r="G27" s="7" t="n"/>
      <c r="H27" s="7" t="n"/>
      <c r="I27" s="7" t="inlineStr">
        <is>
          <t>Chưa bắt đầu</t>
        </is>
      </c>
    </row>
    <row r="28" ht="30" customHeight="1">
      <c r="A28" s="8" t="n"/>
      <c r="B28" s="15" t="inlineStr">
        <is>
          <t>Cài đặt fidelity (bỏ cạnh giải thích so với bỏ cạnh ngẫu nhiên) và sparsity</t>
        </is>
      </c>
      <c r="C28" s="15" t="inlineStr">
        <is>
          <t>Visual Genome ∩ COCO, MKG-W</t>
        </is>
      </c>
      <c r="D28" s="7" t="n"/>
      <c r="E28" s="7" t="n"/>
      <c r="F28" s="7" t="n"/>
      <c r="G28" s="7" t="n"/>
      <c r="H28" s="7" t="n"/>
      <c r="I28" s="7" t="inlineStr">
        <is>
          <t>Chưa bắt đầu</t>
        </is>
      </c>
    </row>
    <row r="29" ht="30" customHeight="1">
      <c r="A29" s="8" t="n"/>
      <c r="B29" s="15" t="inlineStr">
        <is>
          <t>Chấm validity trên ≥10 truy vấn</t>
        </is>
      </c>
      <c r="C29" s="15" t="inlineStr">
        <is>
          <t>Visual Genome ∩ COCO, MKG-W</t>
        </is>
      </c>
      <c r="D29" s="7" t="n"/>
      <c r="E29" s="7" t="n"/>
      <c r="F29" s="7" t="n"/>
      <c r="G29" s="7" t="n"/>
      <c r="H29" s="7" t="n"/>
      <c r="I29" s="7" t="inlineStr">
        <is>
          <t>Chưa bắt đầu</t>
        </is>
      </c>
    </row>
    <row r="30" ht="44" customHeight="1">
      <c r="A30" s="8" t="n"/>
      <c r="B30" s="15" t="inlineStr">
        <is>
          <t>MMKG tiếng Việt: chọn miền, thu thập thực thể / triple / ảnh (Wikidata, Wikimedia Commons), liên kết ảnh–thực thể</t>
        </is>
      </c>
      <c r="C30" s="15" t="inlineStr">
        <is>
          <t>MMKG tiếng Việt</t>
        </is>
      </c>
      <c r="D30" s="7" t="n"/>
      <c r="E30" s="7" t="n"/>
      <c r="F30" s="7" t="n"/>
      <c r="G30" s="7" t="n"/>
      <c r="H30" s="7" t="n"/>
      <c r="I30" s="7" t="inlineStr">
        <is>
          <t>Chưa bắt đầu</t>
        </is>
      </c>
    </row>
    <row r="31" ht="30" customHeight="1">
      <c r="A31" s="8" t="n"/>
      <c r="B31" s="15" t="inlineStr">
        <is>
          <t>MMKG tiếng Việt: soạn truy vấn tiếng Việt, viết data card</t>
        </is>
      </c>
      <c r="C31" s="15" t="inlineStr">
        <is>
          <t>MMKG tiếng Việt</t>
        </is>
      </c>
      <c r="D31" s="7" t="n"/>
      <c r="E31" s="7" t="n"/>
      <c r="F31" s="7" t="n"/>
      <c r="G31" s="7" t="n"/>
      <c r="H31" s="7" t="n"/>
      <c r="I31" s="7" t="inlineStr">
        <is>
          <t>Chưa bắt đầu</t>
        </is>
      </c>
    </row>
    <row r="32" ht="30" customHeight="1">
      <c r="A32" s="9" t="n"/>
      <c r="B32" s="15" t="inlineStr">
        <is>
          <t>Chạy phương pháp tốt nhất trên MMKG tiếng Việt, phân tích chuyển giao</t>
        </is>
      </c>
      <c r="C32" s="15" t="inlineStr">
        <is>
          <t>MMKG tiếng Việt</t>
        </is>
      </c>
      <c r="D32" s="7" t="n"/>
      <c r="E32" s="7" t="n"/>
      <c r="F32" s="7" t="n"/>
      <c r="G32" s="7" t="n"/>
      <c r="H32" s="7" t="n"/>
      <c r="I32" s="7" t="inlineStr">
        <is>
          <t>Chưa bắt đầu</t>
        </is>
      </c>
    </row>
    <row r="33" ht="44" customHeight="1">
      <c r="A33" s="16" t="inlineStr">
        <is>
          <t>4. Mở rộng tự chọn (+1.0 – 2.0)</t>
        </is>
      </c>
      <c r="B33" s="17" t="inlineStr">
        <is>
          <t>Hướng (a): α thích nghi theo truy vấn hoặc cách chọn đường đi giải thích; giả thuyết + ablation trên 2 tập</t>
        </is>
      </c>
      <c r="C33" s="17" t="inlineStr">
        <is>
          <t>Visual Genome ∩ COCO, MKG-W</t>
        </is>
      </c>
      <c r="D33" s="7" t="n"/>
      <c r="E33" s="7" t="n"/>
      <c r="F33" s="7" t="n"/>
      <c r="G33" s="7" t="n"/>
      <c r="H33" s="7" t="n"/>
      <c r="I33" s="7" t="inlineStr">
        <is>
          <t>Chưa bắt đầu</t>
        </is>
      </c>
    </row>
    <row r="34" ht="30" customHeight="1">
      <c r="A34" s="9" t="n"/>
      <c r="B34" s="17" t="inlineStr">
        <is>
          <t>Hướng (c): khảo sát người dùng có đối chứng (nếu còn thời gian)</t>
        </is>
      </c>
      <c r="C34" s="17" t="inlineStr">
        <is>
          <t>—</t>
        </is>
      </c>
      <c r="D34" s="7" t="n"/>
      <c r="E34" s="7" t="n"/>
      <c r="F34" s="7" t="n"/>
      <c r="G34" s="7" t="n"/>
      <c r="H34" s="7" t="n"/>
      <c r="I34" s="7" t="inlineStr">
        <is>
          <t>Chưa bắt đầu</t>
        </is>
      </c>
    </row>
    <row r="35" ht="30" customHeight="1">
      <c r="A35" s="5" t="inlineStr">
        <is>
          <t>5. Sản phẩm nộp</t>
        </is>
      </c>
      <c r="B35" s="6" t="inlineStr">
        <is>
          <t>Báo cáo kỹ thuật 12–18 trang (chia phần theo mảng đã làm)</t>
        </is>
      </c>
      <c r="C35" s="6" t="inlineStr">
        <is>
          <t>—</t>
        </is>
      </c>
      <c r="D35" s="7" t="n"/>
      <c r="E35" s="7" t="n"/>
      <c r="F35" s="7" t="n"/>
      <c r="G35" s="7" t="n"/>
      <c r="H35" s="7" t="n"/>
      <c r="I35" s="7" t="inlineStr">
        <is>
          <t>Chưa bắt đầu</t>
        </is>
      </c>
    </row>
    <row r="36" ht="30" customHeight="1">
      <c r="A36" s="8" t="n"/>
      <c r="B36" s="6" t="inlineStr">
        <is>
          <t>Slide trình bày ≤20 phút</t>
        </is>
      </c>
      <c r="C36" s="6" t="inlineStr">
        <is>
          <t>—</t>
        </is>
      </c>
      <c r="D36" s="7" t="n"/>
      <c r="E36" s="7" t="n"/>
      <c r="F36" s="7" t="n"/>
      <c r="G36" s="7" t="n"/>
      <c r="H36" s="7" t="n"/>
      <c r="I36" s="7" t="inlineStr">
        <is>
          <t>Chưa bắt đầu</t>
        </is>
      </c>
    </row>
    <row r="37" ht="30" customHeight="1">
      <c r="A37" s="8" t="n"/>
      <c r="B37" s="6" t="inlineStr">
        <is>
          <t>Demo chạy trực tiếp + video dự phòng ≤5 phút</t>
        </is>
      </c>
      <c r="C37" s="6" t="inlineStr">
        <is>
          <t>—</t>
        </is>
      </c>
      <c r="D37" s="7" t="n"/>
      <c r="E37" s="7" t="n"/>
      <c r="F37" s="7" t="n"/>
      <c r="G37" s="7" t="n"/>
      <c r="H37" s="7" t="n"/>
      <c r="I37" s="7" t="inlineStr">
        <is>
          <t>Chưa bắt đầu</t>
        </is>
      </c>
    </row>
    <row r="38" ht="44" customHeight="1">
      <c r="A38" s="9" t="n"/>
      <c r="B38" s="6" t="inlineStr">
        <is>
          <t>README chạy lại, mô tả chống rò rỉ, khai báo dùng AI / mã nguồn mở, bảng phân công cuối</t>
        </is>
      </c>
      <c r="C38" s="6" t="inlineStr">
        <is>
          <t>—</t>
        </is>
      </c>
      <c r="D38" s="7" t="inlineStr">
        <is>
          <t>Hỗ trợ</t>
        </is>
      </c>
      <c r="E38" s="7" t="n"/>
      <c r="F38" s="7" t="n"/>
      <c r="G38" s="7" t="n"/>
      <c r="H38" s="7" t="n"/>
      <c r="I38" s="7" t="inlineStr">
        <is>
          <t>Chưa bắt đầu</t>
        </is>
      </c>
    </row>
    <row r="40">
      <c r="C40" s="18" t="inlineStr">
        <is>
          <t>Số việc Chính</t>
        </is>
      </c>
      <c r="D40" s="7">
        <f>COUNTIF(D6:D38,"Chính")</f>
        <v/>
      </c>
      <c r="E40" s="7">
        <f>COUNTIF(E6:E38,"Chính")</f>
        <v/>
      </c>
      <c r="F40" s="7">
        <f>COUNTIF(F6:F38,"Chính")</f>
        <v/>
      </c>
      <c r="G40" s="7">
        <f>COUNTIF(G6:G38,"Chính")</f>
        <v/>
      </c>
      <c r="H40" s="7">
        <f>COUNTIF(H6:H38,"Chính")</f>
        <v/>
      </c>
    </row>
    <row r="41">
      <c r="C41" s="18" t="inlineStr">
        <is>
          <t>Số việc Hỗ trợ</t>
        </is>
      </c>
      <c r="D41" s="7">
        <f>COUNTIF(D6:D38,"Hỗ trợ")</f>
        <v/>
      </c>
      <c r="E41" s="7">
        <f>COUNTIF(E6:E38,"Hỗ trợ")</f>
        <v/>
      </c>
      <c r="F41" s="7">
        <f>COUNTIF(F6:F38,"Hỗ trợ")</f>
        <v/>
      </c>
      <c r="G41" s="7">
        <f>COUNTIF(G6:G38,"Hỗ trợ")</f>
        <v/>
      </c>
      <c r="H41" s="7">
        <f>COUNTIF(H6:H38,"Hỗ trợ")</f>
        <v/>
      </c>
    </row>
  </sheetData>
  <mergeCells count="9">
    <mergeCell ref="A2:I2"/>
    <mergeCell ref="A33:A34"/>
    <mergeCell ref="A6:A9"/>
    <mergeCell ref="A1:I1"/>
    <mergeCell ref="A10:A19"/>
    <mergeCell ref="A3:I3"/>
    <mergeCell ref="A35:A38"/>
    <mergeCell ref="A20:A26"/>
    <mergeCell ref="A27:A32"/>
  </mergeCells>
  <dataValidations count="2">
    <dataValidation sqref="D6:H38" showDropDown="0" showInputMessage="0" showErrorMessage="0" allowBlank="1" type="list">
      <formula1>"Chính,Hỗ trợ"</formula1>
    </dataValidation>
    <dataValidation sqref="I6:I38" showDropDown="0" showInputMessage="0" showErrorMessage="0" allowBlank="1" type="list">
      <formula1>"Chưa bắt đầu,Đang làm,Xong,Bị chặn"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34" customWidth="1" min="3" max="3"/>
    <col width="58" customWidth="1" min="4" max="4"/>
    <col width="36" customWidth="1" min="5" max="5"/>
    <col width="26" customWidth="1" min="6" max="6"/>
    <col width="50" customWidth="1" min="7" max="7"/>
    <col width="36" customWidth="1" min="8" max="8"/>
    <col width="12" customWidth="1" min="9" max="9"/>
  </cols>
  <sheetData>
    <row r="1">
      <c r="A1" s="1" t="inlineStr">
        <is>
          <t>Cấp độ 1 — Visual Genome ∩ COCO: thông tin để làm từng bước</t>
        </is>
      </c>
    </row>
    <row r="2" ht="42" customHeight="1">
      <c r="A2" s="3" t="inlineStr">
        <is>
          <t>Luồng: truy vấn (caption COCO) → CLIP → top-50 theo cosine → điểm đồ thị từ GAT trên scene graph + ConceptNet → xếp hạng lại → đường đi giải thích. Yêu cầu đề: so CLIP với CLIP + Graph trên cùng split, ablation bỏ/xáo cạnh, hiển thị đường đi, 5 thành công + 5 thất bại. Tên file là đề xuất, đổi được nhưng giữ tiếng Anh.</t>
        </is>
      </c>
    </row>
    <row r="4" ht="28" customHeight="1">
      <c r="A4" s="4" t="inlineStr">
        <is>
          <t>Bước</t>
        </is>
      </c>
      <c r="B4" s="4" t="inlineStr">
        <is>
          <t>Việc</t>
        </is>
      </c>
      <c r="C4" s="4" t="inlineStr">
        <is>
          <t>Đầu vào</t>
        </is>
      </c>
      <c r="D4" s="4" t="inlineStr">
        <is>
          <t>Cách làm</t>
        </is>
      </c>
      <c r="E4" s="4" t="inlineStr">
        <is>
          <t>Đầu ra (file)</t>
        </is>
      </c>
      <c r="F4" s="4" t="inlineStr">
        <is>
          <t>Công cụ</t>
        </is>
      </c>
      <c r="G4" s="4" t="inlineStr">
        <is>
          <t>Lưu ý rò rỉ / rủi ro</t>
        </is>
      </c>
      <c r="H4" s="4" t="inlineStr">
        <is>
          <t>Tiêu chí xong</t>
        </is>
      </c>
      <c r="I4" s="4" t="inlineStr">
        <is>
          <t>Phụ thuộc</t>
        </is>
      </c>
    </row>
    <row r="5" ht="84" customHeight="1">
      <c r="A5" s="19" t="inlineStr">
        <is>
          <t>1.1</t>
        </is>
      </c>
      <c r="B5" s="19" t="inlineStr">
        <is>
          <t>Tải dữ liệu</t>
        </is>
      </c>
      <c r="C5" s="20" t="inlineStr">
        <is>
          <t>Visual Genome v1.4: image_data.json, objects.json, relationships.json, object_alias.txt, relationship_alias.txt. COCO 2014: captions_train2014.json, captions_val2014.json. Split Karpathy: dataset_coco.json.</t>
        </is>
      </c>
      <c r="D5" s="20" t="inlineStr">
        <is>
          <t>Chỉ tải file JSON trước (vài trăm MB). Ảnh KHÔNG tải cả bộ (~15 GB): sau bước 1.2 mới tải đúng các ảnh trong tập con theo trường url của image_data.json.</t>
        </is>
      </c>
      <c r="E5" s="20" t="inlineStr">
        <is>
          <t>data/raw/visual_genome/*.json
data/raw/coco/*.json
data/README.md (link + checksum)</t>
        </is>
      </c>
      <c r="F5" s="20" t="inlineStr">
        <is>
          <t>scripts/download_data.py, requests</t>
        </is>
      </c>
      <c r="G5" s="20" t="inlineStr">
        <is>
          <t>Dữ liệu lớn không commit. Ghi phiên bản và ngày tải vì đề dặn thống kê có thể đổi theo phiên bản.</t>
        </is>
      </c>
      <c r="H5" s="20" t="inlineStr">
        <is>
          <t>Chạy lại script trên máy khác ra đúng các file, có checksum.</t>
        </is>
      </c>
      <c r="I5" s="20" t="inlineStr">
        <is>
          <t>—</t>
        </is>
      </c>
    </row>
    <row r="6" ht="84" customHeight="1">
      <c r="A6" s="19" t="inlineStr">
        <is>
          <t>1.2</t>
        </is>
      </c>
      <c r="B6" s="19" t="inlineStr">
        <is>
          <t>Join, tập con, split</t>
        </is>
      </c>
      <c r="C6" s="20" t="inlineStr">
        <is>
          <t>image_data.json (trường coco_id), dataset_coco.json (split Karpathy), captions COCO.</t>
        </is>
      </c>
      <c r="D6" s="20" t="inlineStr">
        <is>
          <t>Giữ ảnh có coco_id khác null. Gán split theo Karpathy (restval gộp vào train). Lấy TOÀN BỘ phần giao, không lấy mẫu (chốt 2026-09-18): train 46 944, val 2 126, test 2 138 ảnh; 290 ảnh Visual Genome bị bỏ vì trùng coco_id. Tải ảnh bằng scripts/download_images.py (chỉ cần trên máy trích đặc trưng).</t>
        </is>
      </c>
      <c r="E6" s="20" t="inlineStr">
        <is>
          <t>data/splits/vg_coco_train.json, _val.json, _test.json
data/raw/images/
experiments/data_stats.md</t>
        </is>
      </c>
      <c r="F6" s="20" t="inlineStr">
        <is>
          <t>src/data/build_split.py, scripts/download_images.py</t>
        </is>
      </c>
      <c r="G6" s="20" t="inlineStr">
        <is>
          <t>Split lấy theo chuẩn có sẵn, không tự chia lại và không lấy mẫu nên không phụ thuộc seed. File split nộp kèm (Mục 6).</t>
        </is>
      </c>
      <c r="H6" s="20" t="inlineStr">
        <is>
          <t>Ba file split cố định; chạy lại cùng seed ra đúng danh sách; bảng thống kê có số thật.</t>
        </is>
      </c>
      <c r="I6" s="20" t="inlineStr">
        <is>
          <t>1.1</t>
        </is>
      </c>
    </row>
    <row r="7" ht="56" customHeight="1">
      <c r="A7" s="19" t="inlineStr">
        <is>
          <t>1.3</t>
        </is>
      </c>
      <c r="B7" s="19" t="inlineStr">
        <is>
          <t>Trích đặc trưng CLIP</t>
        </is>
      </c>
      <c r="C7" s="20" t="inlineStr">
        <is>
          <t>Ảnh tập con, caption, tên 150 lớp đối tượng.</t>
        </is>
      </c>
      <c r="D7" s="20" t="inlineStr">
        <is>
          <t>open_clip, encoder đóng băng (bản nào thì chờ kết quả thử CLIP đa ngữ ở giai đoạn 0; mặc định ViT-B/32). Trích một lần: vector ảnh, vector caption, vector tên khái niệm theo mẫu "a photo of a {tên}". Chuẩn hoá L2.</t>
        </is>
      </c>
      <c r="E7" s="20" t="inlineStr">
        <is>
          <t>data/features/image_feats.npy, caption_feats.npy, concept_feats.npy + file ánh xạ id → dòng</t>
        </is>
      </c>
      <c r="F7" s="20" t="inlineStr">
        <is>
          <t>src/features/extract_clip.py, open_clip, torch</t>
        </is>
      </c>
      <c r="G7" s="20" t="inlineStr">
        <is>
          <t>Encoder đóng băng nên không có gì học từ test. Ghi tên model + pretrained tag vào config để tái lập.</t>
        </is>
      </c>
      <c r="H7" s="20" t="inlineStr">
        <is>
          <t>Số dòng khớp số ảnh / caption / khái niệm; chuẩn của mỗi vector = 1.</t>
        </is>
      </c>
      <c r="I7" s="20" t="inlineStr">
        <is>
          <t>1.2, giai đoạn 0</t>
        </is>
      </c>
    </row>
    <row r="8" ht="56" customHeight="1">
      <c r="A8" s="19" t="inlineStr">
        <is>
          <t>1.4</t>
        </is>
      </c>
      <c r="B8" s="19" t="inlineStr">
        <is>
          <t>Baseline CLIP thuần</t>
        </is>
      </c>
      <c r="C8" s="20" t="inlineStr">
        <is>
          <t>image_feats, caption_feats, split test.</t>
        </is>
      </c>
      <c r="D8" s="20" t="inlineStr">
        <is>
          <t>FAISS IndexFlatIP trên ảnh của split test (pool ứng viên). Mỗi caption test là một truy vấn, đáp án đúng là ảnh gốc của nó. Tính Recall@1/5/10, MRR. Lưu top-50 cho từng truy vấn để các bước sau xếp hạng lại.</t>
        </is>
      </c>
      <c r="E8" s="20" t="inlineStr">
        <is>
          <t>experiments/level1/clip_baseline/metrics.json
experiments/level1/clip_baseline/top50_{val,test}.npy</t>
        </is>
      </c>
      <c r="F8" s="20" t="inlineStr">
        <is>
          <t>src/retrieval/clip_baseline.py, src/eval/metrics.py, faiss</t>
        </is>
      </c>
      <c r="G8" s="20" t="inlineStr">
        <is>
          <t>Kiểm tra pipeline: đối chiếu sơ bộ với Recall@1 zero-shot text→image của CLIP trên COCO đã công bố (cần tra lại số cho đúng model; pool nhỏ hơn 5k thì số của nhóm cao hơn). Lệch quá xa = có lỗi.</t>
        </is>
      </c>
      <c r="H8" s="20" t="inlineStr">
        <is>
          <t>Có bảng R@1/5/10, MRR trên val và test; baseline không có ngẫu nhiên nên 1 lần chạy là đủ.</t>
        </is>
      </c>
      <c r="I8" s="20" t="inlineStr">
        <is>
          <t>1.3</t>
        </is>
      </c>
    </row>
    <row r="9" ht="84" customHeight="1">
      <c r="A9" s="19" t="inlineStr">
        <is>
          <t>1.5</t>
        </is>
      </c>
      <c r="B9" s="19" t="inlineStr">
        <is>
          <t>Dựng đồ thị</t>
        </is>
      </c>
      <c r="C9" s="20" t="inlineStr">
        <is>
          <t>objects.json, relationships.json, alias, danh sách VG150 (150 lớp đối tượng, 50 quan hệ), ConceptNet (assertions tiếng Anh).</t>
        </is>
      </c>
      <c r="D9" s="20" t="inlineStr">
        <is>
          <t>Chuẩn hoá tên theo alias, lọc theo VG150. Node: ảnh + khái niệm. Cạnh: (ảnh, contains, khái niệm); (khái niệm, quan hệ, khái niệm) lấy từ scene graph; (khái niệm, RelatedTo / UsedFor / IsA / AtLocation / PartOf, khái niệm) lấy từ ConceptNet, có thể thêm node khái niệm ngoài VG150 nếu nó nối hai khái niệm VG150. Đặc trưng node: ảnh = vector CLIP ảnh, khái niệm = vector CLIP text.</t>
        </is>
      </c>
      <c r="E9" s="20" t="inlineStr">
        <is>
          <t>data/graphs/vg_coco_graph.pt (PyG HeteroData hoặc danh sách triple)
experiments/level1/graph_stats.md</t>
        </is>
      </c>
      <c r="F9" s="20" t="inlineStr">
        <is>
          <t>src/graph/build_vg_graph.py, torch_geometric</t>
        </is>
      </c>
      <c r="G9" s="17" t="inlineStr">
        <is>
          <t>CHỖ DỄ RÒ RỈ NHẤT. Cạnh khái niệm–khái niệm gộp từ nhiều ảnh là cạnh thống kê → chỉ gộp từ ảnh TRAIN. Cạnh (ảnh, contains, khái niệm) của ảnh val/test là chú thích của chính ứng viên, được dùng, nhưng phải ghi rõ hạn chế: thực tế ảnh mới không có scene graph gán tay. ConceptNet là tri thức ngoài, không phụ thuộc split.</t>
        </is>
      </c>
      <c r="H9" s="20" t="inlineStr">
        <is>
          <t>Bảng thống kê: số node mỗi loại, số cạnh mỗi loại, bậc trung bình, tỉ lệ ảnh không còn đối tượng nào sau lọc.</t>
        </is>
      </c>
      <c r="I9" s="20" t="inlineStr">
        <is>
          <t>1.2</t>
        </is>
      </c>
    </row>
    <row r="10" ht="56" customHeight="1">
      <c r="A10" s="19" t="inlineStr">
        <is>
          <t>1.6</t>
        </is>
      </c>
      <c r="B10" s="19" t="inlineStr">
        <is>
          <t>Nối truy vấn vào đồ thị</t>
        </is>
      </c>
      <c r="C10" s="20" t="inlineStr">
        <is>
          <t>Caption (truy vấn), danh sách node khái niệm, alias.</t>
        </is>
      </c>
      <c r="D10" s="20" t="inlineStr">
        <is>
          <t>Tách danh từ và động từ bằng spaCy, lấy lemma, khớp vào tên node khái niệm (qua alias). Kết quả: mỗi truy vấn → tập node khái niệm xuất phát. Truy vấn không khớp node nào thì điểm đồ thị = 0, chỉ còn điểm CLIP.</t>
        </is>
      </c>
      <c r="E10" s="20" t="inlineStr">
        <is>
          <t>data/processed/query_concepts_{train,val,test}.json
thống kê tỉ lệ truy vấn khớp ≥1 node</t>
        </is>
      </c>
      <c r="F10" s="20" t="inlineStr">
        <is>
          <t>src/graph/link_query.py, spacy (en_core_web_sm)</t>
        </is>
      </c>
      <c r="G10" s="20" t="inlineStr">
        <is>
          <t>Bước này không học gì nên không rò rỉ. Rủi ro: tỉ lệ khớp thấp thì đồ thị không có tác dụng; nếu dưới ~70% thì mở rộng alias hoặc khớp gần đúng bằng vector CLIP text.</t>
        </is>
      </c>
      <c r="H10" s="20" t="inlineStr">
        <is>
          <t>Tỉ lệ truy vấn khớp ≥1 node được báo cáo cho cả 3 split; xem tay 30 truy vấn để kiểm tra khớp sai.</t>
        </is>
      </c>
      <c r="I10" s="20" t="inlineStr">
        <is>
          <t>1.5</t>
        </is>
      </c>
    </row>
    <row r="11" ht="84" customHeight="1">
      <c r="A11" s="19" t="inlineStr">
        <is>
          <t>1.7</t>
        </is>
      </c>
      <c r="B11" s="19" t="inlineStr">
        <is>
          <t>GNN và điểm đồ thị</t>
        </is>
      </c>
      <c r="C11" s="20" t="inlineStr">
        <is>
          <t>Đồ thị, query_concepts, top-50 của baseline, split train/val.</t>
        </is>
      </c>
      <c r="D11" s="20" t="inlineStr">
        <is>
          <t>GAT 2 lớp trên đồ thị (đa quan hệ: mỗi loại cạnh một bộ trọng số, hoặc nhúng loại cạnh vào attention). Biểu diễn truy vấn = gộp embedding các node khái niệm xuất phát. Điểm đồ thị(truy vấn, ảnh) = cosine giữa biểu diễn truy vấn và embedding GNN của node ảnh. Huấn luyện bằng contrastive loss trên cặp (caption, ảnh) của TRAIN; dừng sớm theo Recall trên VAL. Chạy ≥3 seed.</t>
        </is>
      </c>
      <c r="E11" s="20" t="inlineStr">
        <is>
          <t>src/models/gat_ranker.py, src/train.py
experiments/level1/gat/seed_{0,1,2}/ (checkpoint, log, config)</t>
        </is>
      </c>
      <c r="F11" s="20" t="inlineStr">
        <is>
          <t>torch_geometric (GATConv / HGTConv), torch</t>
        </is>
      </c>
      <c r="G11" s="20" t="inlineStr">
        <is>
          <t>Caption test không bao giờ vào huấn luyện. Thiết kế phải để giải thích sinh từ cơ chế chấm điểm: giữ lại attention từng cạnh và đóng góp của từng node khái niệm vào điểm, không tìm đường đi sau khi đã xếp hạng (đề cấm).</t>
        </is>
      </c>
      <c r="H11" s="20" t="inlineStr">
        <is>
          <t>Loss giảm, Recall trên val của riêng điểm đồ thị cao hơn ngẫu nhiên rõ rệt; có checkpoint cho 3 seed.</t>
        </is>
      </c>
      <c r="I11" s="20" t="inlineStr">
        <is>
          <t>1.5, 1.6</t>
        </is>
      </c>
    </row>
    <row r="12" ht="56" customHeight="1">
      <c r="A12" s="19" t="inlineStr">
        <is>
          <t>1.8</t>
        </is>
      </c>
      <c r="B12" s="19" t="inlineStr">
        <is>
          <t>Xếp hạng lại</t>
        </is>
      </c>
      <c r="C12" s="20" t="inlineStr">
        <is>
          <t>top-50 baseline, điểm đồ thị, split val/test.</t>
        </is>
      </c>
      <c r="D12" s="20" t="inlineStr">
        <is>
          <t>điểm = α·cosine CLIP + (1−α)·điểm đồ thị, chuẩn hoá hai điểm về cùng thang trong từng truy vấn (min-max hoặc z-score) trước khi cộng. Quét α từ 0 đến 1 bước 0,1 trên VAL, lấy α tốt nhất rồi mới chạy TEST đúng một lần cho mỗi seed.</t>
        </is>
      </c>
      <c r="E12" s="20" t="inlineStr">
        <is>
          <t>experiments/level1/rerank/metrics.json (mean ± std qua seed), alpha_sweep_val.csv</t>
        </is>
      </c>
      <c r="F12" s="20" t="inlineStr">
        <is>
          <t>src/retrieval/rerank.py</t>
        </is>
      </c>
      <c r="G12" s="20" t="inlineStr">
        <is>
          <t>α và k chọn trên val, không nhìn test. Xếp hạng lại chỉ trong top-50 nên Recall@50 của baseline là trần: ghi con số này vào báo cáo.</t>
        </is>
      </c>
      <c r="H12" s="20" t="inlineStr">
        <is>
          <t>Bảng so sánh CLIP thuần và CLIP + Graph trên cùng split, có mean ± std của ≥3 seed.</t>
        </is>
      </c>
      <c r="I12" s="20" t="inlineStr">
        <is>
          <t>1.4, 1.7</t>
        </is>
      </c>
    </row>
    <row r="13" ht="56" customHeight="1">
      <c r="A13" s="19" t="inlineStr">
        <is>
          <t>1.9</t>
        </is>
      </c>
      <c r="B13" s="19" t="inlineStr">
        <is>
          <t>Ablation</t>
        </is>
      </c>
      <c r="C13" s="20" t="inlineStr">
        <is>
          <t>Đồ thị, pipeline 1.7–1.8.</t>
        </is>
      </c>
      <c r="D13" s="20" t="inlineStr">
        <is>
          <t>Huấn luyện lại với: (a) bỏ cạnh quan hệ, chỉ giữ contains; (b) bỏ cạnh ConceptNet; (c) xáo cạnh, giữ nguyên bậc node; (d) đồ thị ngẫu nhiên cùng số cạnh. Cùng seed, cùng siêu tham số với bản đầy đủ.</t>
        </is>
      </c>
      <c r="E13" s="20" t="inlineStr">
        <is>
          <t>experiments/level1/ablation/{no_rel,no_conceptnet,shuffled,random}/
bảng tổng hợp ablation</t>
        </is>
      </c>
      <c r="F13" s="20" t="inlineStr">
        <is>
          <t>src/graph/perturb.py</t>
        </is>
      </c>
      <c r="G13" s="20" t="inlineStr">
        <is>
          <t>Mục đích là chứng minh cải thiện đến từ cấu trúc quan hệ. Nếu (c) và (d) cho kết quả ngang bản đầy đủ thì đồ thị không đóng góp gì: phải báo cáo đúng như vậy, không che.</t>
        </is>
      </c>
      <c r="H13" s="20" t="inlineStr">
        <is>
          <t>Bảng 5 hàng (đầy đủ + 4 biến thể) × 4 metric, mean ± std.</t>
        </is>
      </c>
      <c r="I13" s="20" t="inlineStr">
        <is>
          <t>1.8</t>
        </is>
      </c>
    </row>
    <row r="14" ht="70" customHeight="1">
      <c r="A14" s="19" t="inlineStr">
        <is>
          <t>1.10</t>
        </is>
      </c>
      <c r="B14" s="19" t="inlineStr">
        <is>
          <t>Giải thích cơ bản</t>
        </is>
      </c>
      <c r="C14" s="20" t="inlineStr">
        <is>
          <t>Checkpoint GAT, đồ thị, truy vấn.</t>
        </is>
      </c>
      <c r="D14" s="20" t="inlineStr">
        <is>
          <t>Với mỗi kết quả: lấy các node khái niệm xuất phát của truy vấn, lần theo cạnh có attention cao nhất tới node ảnh, xuất top-m đường đi kèm trọng số đóng góp vào điểm đồ thị. Trả về cấu trúc dữ liệu (danh sách đường đi + trọng số) để platform demo ở bước 1.12 hiển thị.</t>
        </is>
      </c>
      <c r="E14" s="20" t="inlineStr">
        <is>
          <t>src/explain/path_explainer.py
notebooks/demo_retrieval.ipynb</t>
        </is>
      </c>
      <c r="F14" s="20" t="inlineStr">
        <is>
          <t>networkx / pyvis, matplotlib, ipywidgets</t>
        </is>
      </c>
      <c r="G14" s="20" t="inlineStr">
        <is>
          <t>Đường đi hiển thị phải là thứ thật sự tham gia tính điểm. Thiết kế sẵn hàm "bỏ các cạnh này rồi tính lại điểm" vì cấp độ 3 đo fidelity bằng đúng hàm đó.</t>
        </is>
      </c>
      <c r="H14" s="20" t="inlineStr">
        <is>
          <t>Hàm giải thích có test; mỗi kết quả có ≥1 đường đi hoặc ghi rõ "không có đường đi, chỉ dùng điểm CLIP".</t>
        </is>
      </c>
      <c r="I14" s="20" t="inlineStr">
        <is>
          <t>1.8</t>
        </is>
      </c>
    </row>
    <row r="15" ht="56" customHeight="1">
      <c r="A15" s="19" t="inlineStr">
        <is>
          <t>1.11</t>
        </is>
      </c>
      <c r="B15" s="19" t="inlineStr">
        <is>
          <t>Phân tích 5 thành công + 5 thất bại</t>
        </is>
      </c>
      <c r="C15" s="20" t="inlineStr">
        <is>
          <t>Kết quả test của CLIP thuần và CLIP + Graph, giải thích từ 1.10.</t>
        </is>
      </c>
      <c r="D15" s="20" t="inlineStr">
        <is>
          <t>Thành công = đồ thị kéo ảnh đúng lên hạng cao hơn; thất bại = đồ thị đẩy ảnh đúng xuống hoặc không giúp được. Mỗi trường hợp ghi: truy vấn, hạng trước / sau, đường đi giải thích, nguyên nhân (khớp node sai, thiếu cạnh, scene graph nhiễu, truy vấn mơ hồ…).</t>
        </is>
      </c>
      <c r="E15" s="20" t="inlineStr">
        <is>
          <t>report/analysis/level1_case_studies.md + hình</t>
        </is>
      </c>
      <c r="F15" s="20" t="inlineStr">
        <is>
          <t>notebook</t>
        </is>
      </c>
      <c r="G15" s="20" t="inlineStr">
        <is>
          <t>Chọn ca theo tiêu chí ghi trước (ví dụ: thay đổi hạng lớn nhất), không chọn theo cảm tính cho đẹp.</t>
        </is>
      </c>
      <c r="H15" s="20" t="inlineStr">
        <is>
          <t>10 ca có đủ 4 mục; nhóm nguyên nhân thất bại được tổng kết thành 2–3 loại.</t>
        </is>
      </c>
      <c r="I15" s="20" t="inlineStr">
        <is>
          <t>1.10</t>
        </is>
      </c>
    </row>
    <row r="16" ht="112" customHeight="1">
      <c r="A16" s="19" t="inlineStr">
        <is>
          <t>1.12</t>
        </is>
      </c>
      <c r="B16" s="19" t="inlineStr">
        <is>
          <t>Platform demo (phụ trách: Lộc)</t>
        </is>
      </c>
      <c r="C16" s="20" t="inlineStr">
        <is>
          <t>Đặc trưng CLIP + index FAISS (1.3–1.4); về sau: checkpoint GAT (1.7), điểm xếp hạng lại (1.8), hàm giải thích (1.10).</t>
        </is>
      </c>
      <c r="D16" s="20" t="inlineStr">
        <is>
          <t>Web app nhỏ chạy cục bộ. Làm theo 3 nấc để có cái chạy được sớm: (1) sau bước 1.4: ô nhập truy vấn → lưới top-k ảnh theo CLIP kèm điểm; (2) sau 1.8: hai cột CLIP thuần và CLIP + Graph cạnh nhau, đánh dấu ảnh đổi hạng, thanh trượt α; (3) sau 1.10: bấm vào một ảnh → hiện đường đi giải thích dạng chữ (boy –kicking→ ball) và đồ thị con, kèm nút "bỏ cạnh này" để xem điểm đổi ra sao. Tách lớp: app chỉ gọi một hàm search(query, mode) → kết quả + giải thích, để cấp độ 2 và 3 cắm dataset khác vào mà không sửa giao diện.</t>
        </is>
      </c>
      <c r="E16" s="20" t="inlineStr">
        <is>
          <t>app/demo_app.py
src/service/search_service.py
hướng dẫn chạy trong README</t>
        </is>
      </c>
      <c r="F16" s="20" t="inlineStr">
        <is>
          <t>Gradio (gallery ảnh có sẵn, ít code) hoặc Streamlit; pyvis / networkx để vẽ đồ thị con</t>
        </is>
      </c>
      <c r="G16" s="20" t="inlineStr">
        <is>
          <t>Đề chỉ yêu cầu "notebook hoặc giao diện nhỏ", không cần web hoàn chỉnh: giữ gọn. Phải chạy offline trên máy trình bày (demo trực tiếp khi vấn đáp), nạp sẵn đặc trưng và checkpoint để truy vấn trả lời trong vài giây. Pool ảnh demo là split test, không lẫn ảnh train. Quay video dự phòng ≤5 phút từ chính app này.</t>
        </is>
      </c>
      <c r="H16" s="20" t="inlineStr">
        <is>
          <t>Nấc 1 chạy được ngay sau baseline; nấc 3 chạy trên máy sạch theo README; mỗi kết quả có ≥1 đường đi hoặc ghi rõ "chỉ dùng điểm CLIP".</t>
        </is>
      </c>
      <c r="I16" s="20" t="inlineStr">
        <is>
          <t>1.4 → 1.8 → 1.10</t>
        </is>
      </c>
    </row>
    <row r="18">
      <c r="A18" s="21" t="inlineStr">
        <is>
          <t>Cần chốt trước hoặc trong khi làm</t>
        </is>
      </c>
    </row>
    <row r="19" ht="30" customHeight="1">
      <c r="A19" s="22" t="inlineStr">
        <is>
          <t>1. Kích thước tập con: ĐÃ CHỐT 2026-09-18, lấy toàn bộ phần giao (51 208 ảnh), không lấy mẫu.</t>
        </is>
      </c>
    </row>
    <row r="20" ht="30" customHeight="1">
      <c r="A20" s="22" t="inlineStr">
        <is>
          <t>2. Encoder: chờ kết quả thử CLIP đa ngữ ở giai đoạn 0; nếu bản đa ngữ kém hẳn trên tiếng Anh thì dùng hai encoder (báo cáo rõ).</t>
        </is>
      </c>
    </row>
    <row r="21" ht="30" customHeight="1">
      <c r="A21" s="22" t="inlineStr">
        <is>
          <t>3. Cách biểu diễn quan hệ trong scene graph: cạnh gộp khái niệm–khái niệm (đơn giản, mất thông tin "quan hệ này ở ảnh nào") hay thêm node bộ ba nối với ảnh (giữ được, đồ thị lớn hơn). Đề xuất bắt đầu bằng cách gộp, thêm node bộ ba nếu ablation cho thấy cạnh quan hệ không giúp gì.</t>
        </is>
      </c>
    </row>
    <row r="22" ht="30" customHeight="1">
      <c r="A22" s="22" t="inlineStr">
        <is>
          <t>4. k của top-k (đề xuất 50) và cách chuẩn hoá điểm trước khi cộng.</t>
        </is>
      </c>
    </row>
    <row r="23" ht="30" customHeight="1">
      <c r="A23" s="22" t="inlineStr">
        <is>
          <t>5. Framework cho platform demo: Gradio hay Streamlit (đề xuất Gradio vì có sẵn gallery ảnh).</t>
        </is>
      </c>
    </row>
    <row r="24" ht="30" customHeight="1">
      <c r="A24" s="22" t="inlineStr">
        <is>
          <t>6. Các con số trong sheet này (kích thước file, Recall công bố, ngưỡng 70%) là ước lượng để định hướng, phải thay bằng số đo thật khi chạy.</t>
        </is>
      </c>
    </row>
  </sheetData>
  <mergeCells count="8">
    <mergeCell ref="A19:I19"/>
    <mergeCell ref="A2:I2"/>
    <mergeCell ref="A1:I1"/>
    <mergeCell ref="A23:I23"/>
    <mergeCell ref="A24:I24"/>
    <mergeCell ref="A22:I22"/>
    <mergeCell ref="A20:I20"/>
    <mergeCell ref="A21:I2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2026-09-17T15:09:28Z</dcterms:created>
  <dcterms:modified xmlns:dcterms="http://purl.org/dc/terms/" xmlns:xsi="http://www.w3.org/2001/XMLSchema-instance" xsi:type="dcterms:W3CDTF">2026-09-18T18:01:37Z</dcterms:modified>
</cp:coreProperties>
</file>