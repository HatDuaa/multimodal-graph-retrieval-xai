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320" yWindow="3240" windowWidth="34680" windowHeight="21600" tabRatio="500" firstSheet="0" activeTab="0" autoFilterDateGrouping="1"/>
  </bookViews>
  <sheets>
    <sheet name="Phan cong" sheetId="1" state="visible" r:id="rId1"/>
    <sheet name="Cap do 1" sheetId="2" state="visible" r:id="rId2"/>
  </sheets>
  <definedNames/>
  <calcPr calcId="191029" fullCalcOnLoad="1" iterateDelta="0.0001"/>
</workbook>
</file>

<file path=xl/styles.xml><?xml version="1.0" encoding="utf-8"?>
<styleSheet xmlns="http://schemas.openxmlformats.org/spreadsheetml/2006/main">
  <numFmts count="0"/>
  <fonts count="9">
    <font>
      <name val="Calibri"/>
      <charset val="1"/>
      <family val="2"/>
      <color theme="1"/>
      <sz val="11"/>
    </font>
    <font>
      <name val="Arial"/>
      <charset val="1"/>
      <b val="1"/>
      <sz val="14"/>
    </font>
    <font>
      <name val="Arial"/>
      <charset val="1"/>
      <sz val="11"/>
    </font>
    <font>
      <name val="Arial"/>
      <charset val="1"/>
      <i val="1"/>
      <color rgb="FF7F7F7F"/>
      <sz val="10"/>
    </font>
    <font>
      <name val="Arial"/>
      <charset val="1"/>
      <b val="1"/>
      <color rgb="FFFFFFFF"/>
      <sz val="11"/>
    </font>
    <font>
      <name val="Arial"/>
      <charset val="1"/>
      <b val="1"/>
      <sz val="10"/>
    </font>
    <font>
      <name val="Arial"/>
      <charset val="1"/>
      <sz val="10"/>
    </font>
    <font>
      <name val="Arial"/>
      <charset val="1"/>
      <b val="1"/>
      <sz val="11"/>
    </font>
    <font>
      <name val="Arial"/>
      <family val="2"/>
      <sz val="10"/>
    </font>
  </fonts>
  <fills count="8">
    <fill>
      <patternFill/>
    </fill>
    <fill>
      <patternFill patternType="gray125"/>
    </fill>
    <fill>
      <patternFill patternType="solid">
        <fgColor rgb="FF2C5361"/>
        <bgColor rgb="FF333399"/>
      </patternFill>
    </fill>
    <fill>
      <patternFill patternType="solid">
        <fgColor rgb="FFF2F2F2"/>
        <bgColor rgb="FFE8F3F1"/>
      </patternFill>
    </fill>
    <fill>
      <patternFill patternType="solid">
        <fgColor rgb="FFE8F3F1"/>
        <bgColor rgb="FFF2F2F2"/>
      </patternFill>
    </fill>
    <fill>
      <patternFill patternType="solid">
        <fgColor rgb="FFFDF3E1"/>
        <bgColor rgb="FFFBE9E5"/>
      </patternFill>
    </fill>
    <fill>
      <patternFill patternType="solid">
        <fgColor rgb="FFEEE8F7"/>
        <bgColor rgb="FFF2F2F2"/>
      </patternFill>
    </fill>
    <fill>
      <patternFill patternType="solid">
        <fgColor rgb="FFFBE9E5"/>
        <bgColor rgb="FFFDF3E1"/>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24">
    <xf numFmtId="0" fontId="0" fillId="0" borderId="0" pivotButton="0" quotePrefix="0" xfId="0"/>
    <xf numFmtId="0" fontId="6" fillId="0" borderId="0" applyAlignment="1" pivotButton="0" quotePrefix="0" xfId="0">
      <alignment vertical="top" wrapText="1"/>
    </xf>
    <xf numFmtId="0" fontId="5" fillId="7" borderId="1" applyAlignment="1" pivotButton="0" quotePrefix="0" xfId="0">
      <alignment vertical="center" wrapText="1"/>
    </xf>
    <xf numFmtId="0" fontId="5" fillId="6" borderId="1" applyAlignment="1" pivotButton="0" quotePrefix="0" xfId="0">
      <alignment vertical="center" wrapText="1"/>
    </xf>
    <xf numFmtId="0" fontId="5" fillId="5" borderId="1" applyAlignment="1" pivotButton="0" quotePrefix="0" xfId="0">
      <alignment vertical="center" wrapText="1"/>
    </xf>
    <xf numFmtId="0" fontId="5" fillId="4" borderId="1" applyAlignment="1" pivotButton="0" quotePrefix="0" xfId="0">
      <alignment vertical="center" wrapText="1"/>
    </xf>
    <xf numFmtId="0" fontId="5" fillId="3" borderId="1" applyAlignment="1" pivotButton="0" quotePrefix="0" xfId="0">
      <alignment vertical="center" wrapText="1"/>
    </xf>
    <xf numFmtId="0" fontId="3" fillId="0" borderId="0" applyAlignment="1" pivotButton="0" quotePrefix="0" xfId="0">
      <alignment vertical="top" wrapText="1"/>
    </xf>
    <xf numFmtId="0" fontId="2" fillId="0" borderId="0" pivotButton="0" quotePrefix="0" xfId="0"/>
    <xf numFmtId="0" fontId="1" fillId="0" borderId="0" pivotButton="0" quotePrefix="0" xfId="0"/>
    <xf numFmtId="0" fontId="4" fillId="2" borderId="1" applyAlignment="1" pivotButton="0" quotePrefix="0" xfId="0">
      <alignment horizontal="center" vertical="center" wrapText="1"/>
    </xf>
    <xf numFmtId="0" fontId="6" fillId="3" borderId="1" applyAlignment="1" pivotButton="0" quotePrefix="0" xfId="0">
      <alignment vertical="top" wrapText="1"/>
    </xf>
    <xf numFmtId="0" fontId="6" fillId="0"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5" fillId="0" borderId="0" pivotButton="0" quotePrefix="0" xfId="0"/>
    <xf numFmtId="0" fontId="5" fillId="4"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8" fillId="0" borderId="1" applyAlignment="1" pivotButton="0" quotePrefix="0" xfId="0">
      <alignment horizontal="center" vertical="center"/>
    </xf>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DF3E1"/>
      <rgbColor rgb="FFE8F3F1"/>
      <rgbColor rgb="FF660066"/>
      <rgbColor rgb="FFFF8080"/>
      <rgbColor rgb="FF0066CC"/>
      <rgbColor rgb="FFEEE8F7"/>
      <rgbColor rgb="FF000080"/>
      <rgbColor rgb="FFFF00FF"/>
      <rgbColor rgb="FFFFFF00"/>
      <rgbColor rgb="FF00FFFF"/>
      <rgbColor rgb="FF800080"/>
      <rgbColor rgb="FF800000"/>
      <rgbColor rgb="FF008080"/>
      <rgbColor rgb="FF0000FF"/>
      <rgbColor rgb="FF00CCFF"/>
      <rgbColor rgb="FFF2F2F2"/>
      <rgbColor rgb="FFCCFFCC"/>
      <rgbColor rgb="FFFBE9E5"/>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536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tabSelected="1" zoomScaleNormal="100" workbookViewId="0">
      <pane ySplit="5" topLeftCell="A6" activePane="bottomLeft" state="frozen"/>
      <selection pane="bottomLeft" activeCell="G21" sqref="G21"/>
    </sheetView>
  </sheetViews>
  <sheetFormatPr baseColWidth="10" defaultColWidth="8.6640625" defaultRowHeight="15"/>
  <cols>
    <col width="20" customWidth="1" min="1" max="1"/>
    <col width="62" customWidth="1" min="2" max="2"/>
    <col width="24" customWidth="1" min="3" max="3"/>
    <col width="16" customWidth="1" min="4" max="8"/>
    <col width="14" customWidth="1" min="9" max="9"/>
  </cols>
  <sheetData>
    <row r="1" ht="18" customHeight="1">
      <c r="A1" s="9" t="inlineStr">
        <is>
          <t>Khung phân công — Project 3: Truy vấn đa phương thức có giải thích bằng đồ thị</t>
        </is>
      </c>
    </row>
    <row r="2">
      <c r="A2" s="8" t="inlineStr">
        <is>
          <t>Nhóm 7 · Môn Học máy với dữ liệu đồ thị · GVHD: TS. Lê Ngọc Thành</t>
        </is>
      </c>
    </row>
    <row r="3" ht="30" customHeight="1">
      <c r="A3" s="7" t="inlineStr">
        <is>
          <t>Cách điền: mỗi người tự chọn việc ở cột của mình (D–H), chọn "Chính" hoặc "Hỗ trợ" từ danh sách. Mỗi việc cần đúng một người "Chính". Cột Trạng thái chọn từ danh sách. Khung lập ngày 2026-09-17.</t>
        </is>
      </c>
    </row>
    <row r="5" ht="33.75" customHeight="1">
      <c r="A5" s="10" t="inlineStr">
        <is>
          <t>Giai đoạn</t>
        </is>
      </c>
      <c r="B5" s="10" t="inlineStr">
        <is>
          <t>Công việc</t>
        </is>
      </c>
      <c r="C5" s="10" t="inlineStr">
        <is>
          <t>Bộ dữ liệu</t>
        </is>
      </c>
      <c r="D5" s="10" t="inlineStr">
        <is>
          <t>Nguyễn Đình Lộc
25C11050</t>
        </is>
      </c>
      <c r="E5" s="10" t="inlineStr">
        <is>
          <t>Ngô Trương Minh Đạt
25C15003</t>
        </is>
      </c>
      <c r="F5" s="10" t="inlineStr">
        <is>
          <t>Trần Đắc Khoa
25C15015</t>
        </is>
      </c>
      <c r="G5" s="10" t="inlineStr">
        <is>
          <t>Nguyễn Bùi Mẫn Nhi
25C15055</t>
        </is>
      </c>
      <c r="H5" s="10" t="inlineStr">
        <is>
          <t>Âu Dương Khang
25C15045</t>
        </is>
      </c>
      <c r="I5" s="10" t="inlineStr">
        <is>
          <t>Trạng thái</t>
        </is>
      </c>
    </row>
    <row r="6" ht="30" customHeight="1">
      <c r="A6" s="6" t="inlineStr">
        <is>
          <t>0. Nền chung</t>
        </is>
      </c>
      <c r="B6" s="11" t="inlineStr">
        <is>
          <t>Khung repo, config theo seed, requirements, script tải dữ liệu</t>
        </is>
      </c>
      <c r="C6" s="11" t="inlineStr">
        <is>
          <t>—</t>
        </is>
      </c>
      <c r="D6" s="12" t="inlineStr">
        <is>
          <t>Chính</t>
        </is>
      </c>
      <c r="E6" s="12" t="n"/>
      <c r="F6" s="12" t="n"/>
      <c r="G6" s="12" t="n"/>
      <c r="H6" s="12" t="n"/>
      <c r="I6" s="12" t="inlineStr">
        <is>
          <t>Xong</t>
        </is>
      </c>
    </row>
    <row r="7" ht="30" customHeight="1">
      <c r="A7" s="22" t="n"/>
      <c r="B7" s="11" t="inlineStr">
        <is>
          <t>Module trích đặc trưng CLIP (ảnh + text), lưu .npy, index FAISS</t>
        </is>
      </c>
      <c r="C7" s="11" t="inlineStr">
        <is>
          <t>dùng chung</t>
        </is>
      </c>
      <c r="D7" s="12" t="inlineStr">
        <is>
          <t>Chính</t>
        </is>
      </c>
      <c r="E7" s="12" t="n"/>
      <c r="F7" s="12" t="n"/>
      <c r="G7" s="12" t="n"/>
      <c r="H7" s="12" t="n"/>
      <c r="I7" s="12" t="inlineStr">
        <is>
          <t>Xong</t>
        </is>
      </c>
    </row>
    <row r="8" ht="30" customHeight="1">
      <c r="A8" s="22" t="n"/>
      <c r="B8" s="11" t="inlineStr">
        <is>
          <t>Module đánh giá: Recall@1/5/10, MRR, mean ± std qua ≥3 seed</t>
        </is>
      </c>
      <c r="C8" s="11" t="inlineStr">
        <is>
          <t>dùng chung</t>
        </is>
      </c>
      <c r="D8" s="12" t="inlineStr">
        <is>
          <t>Chính</t>
        </is>
      </c>
      <c r="E8" s="12" t="n"/>
      <c r="F8" s="12" t="n"/>
      <c r="G8" s="12" t="n"/>
      <c r="H8" s="12" t="n"/>
      <c r="I8" s="12" t="inlineStr">
        <is>
          <t>Xong</t>
        </is>
      </c>
    </row>
    <row r="9" ht="30" customHeight="1">
      <c r="A9" s="23" t="n"/>
      <c r="B9" s="11" t="inlineStr">
        <is>
          <t>Thử CLIP đa ngữ với truy vấn tiếng Việt, chốt encoder cho cả project</t>
        </is>
      </c>
      <c r="C9" s="11" t="inlineStr">
        <is>
          <t>vài câu thử</t>
        </is>
      </c>
      <c r="D9" s="12" t="n"/>
      <c r="E9" s="12" t="n"/>
      <c r="F9" s="12" t="n"/>
      <c r="G9" s="12" t="inlineStr">
        <is>
          <t>Chính</t>
        </is>
      </c>
      <c r="H9" s="12" t="n"/>
      <c r="I9" s="12" t="inlineStr">
        <is>
          <t>Chưa bắt đầu</t>
        </is>
      </c>
    </row>
    <row r="10" ht="43.5" customHeight="1">
      <c r="A10" s="5" t="inlineStr">
        <is>
          <t>1. Cấp độ 1 (trần 7.0)</t>
        </is>
      </c>
      <c r="B10" s="13" t="inlineStr">
        <is>
          <t>Dữ liệu: join theo coco_id, lấy toàn bộ phần giao (không lấy mẫu), split Karpathy, lưu file split</t>
        </is>
      </c>
      <c r="C10" s="13" t="inlineStr">
        <is>
          <t>Visual Genome ∩ COCO</t>
        </is>
      </c>
      <c r="D10" s="12" t="inlineStr">
        <is>
          <t>Chính</t>
        </is>
      </c>
      <c r="E10" s="12" t="n"/>
      <c r="F10" s="12" t="n"/>
      <c r="G10" s="12" t="n"/>
      <c r="H10" s="12" t="n"/>
      <c r="I10" s="12" t="inlineStr">
        <is>
          <t>Xong</t>
        </is>
      </c>
    </row>
    <row r="11" ht="30" customHeight="1">
      <c r="A11" s="22" t="n"/>
      <c r="B11" s="13" t="inlineStr">
        <is>
          <t>Baseline CLIP thuần: caption → top-k</t>
        </is>
      </c>
      <c r="C11" s="13" t="inlineStr">
        <is>
          <t>Visual Genome ∩ COCO</t>
        </is>
      </c>
      <c r="D11" s="12" t="inlineStr">
        <is>
          <t>Chính</t>
        </is>
      </c>
      <c r="E11" s="12" t="n"/>
      <c r="F11" s="12" t="n"/>
      <c r="G11" s="12" t="n"/>
      <c r="H11" s="12" t="n"/>
      <c r="I11" s="12" t="inlineStr">
        <is>
          <t>Xong</t>
        </is>
      </c>
    </row>
    <row r="12" ht="43.5" customHeight="1">
      <c r="A12" s="22" t="n"/>
      <c r="B12" s="13" t="inlineStr">
        <is>
          <t>Dựng đồ thị: lọc VG150, mỗi ảnh một scene graph riêng (node đối tượng, cạnh quan hệ, bộ ba); thống kê đồ thị và đo tỉ lệ bộ ba của caption tìm thấy trong scene graph của ảnh gốc</t>
        </is>
      </c>
      <c r="C12" s="13" t="inlineStr">
        <is>
          <t>Visual Genome ∩ COCO</t>
        </is>
      </c>
      <c r="D12" s="12" t="inlineStr">
        <is>
          <t>Chính</t>
        </is>
      </c>
      <c r="E12" s="12" t="n"/>
      <c r="F12" s="12" t="n"/>
      <c r="G12" s="12" t="n"/>
      <c r="H12" s="12" t="n"/>
      <c r="I12" s="12" t="inlineStr">
        <is>
          <t>Đang làm</t>
        </is>
      </c>
    </row>
    <row r="13" ht="30" customHeight="1">
      <c r="A13" s="22" t="n"/>
      <c r="B13" s="13" t="inlineStr">
        <is>
          <t>Đồ thị truy vấn: tách caption thành bộ ba (chủ thể, quan hệ, đối tượng), chuẩn hoá tên theo alias VG150</t>
        </is>
      </c>
      <c r="C13" s="13" t="inlineStr">
        <is>
          <t>Visual Genome ∩ COCO</t>
        </is>
      </c>
      <c r="D13" s="12" t="inlineStr">
        <is>
          <t>Chính</t>
        </is>
      </c>
      <c r="E13" s="12" t="n"/>
      <c r="F13" s="12" t="n"/>
      <c r="G13" s="12" t="n"/>
      <c r="H13" s="12" t="n"/>
      <c r="I13" s="12" t="inlineStr">
        <is>
          <t>Đang làm</t>
        </is>
      </c>
    </row>
    <row r="14" ht="30" customHeight="1">
      <c r="A14" s="22" t="n"/>
      <c r="B14" s="13" t="inlineStr">
        <is>
          <t>GNN (GAT) chạy trong từng đồ thị nhỏ (ảnh và truy vấn); điểm đồ thị = độ khớp bộ ba cho từng ứng viên trong top-k</t>
        </is>
      </c>
      <c r="C14" s="13" t="inlineStr">
        <is>
          <t>Visual Genome ∩ COCO</t>
        </is>
      </c>
      <c r="D14" s="12" t="inlineStr">
        <is>
          <t>Chính</t>
        </is>
      </c>
      <c r="E14" s="12" t="n"/>
      <c r="F14" s="12" t="n"/>
      <c r="G14" s="12" t="n"/>
      <c r="H14" s="12" t="n"/>
      <c r="I14" s="12" t="inlineStr">
        <is>
          <t>Đang làm</t>
        </is>
      </c>
    </row>
    <row r="15" ht="30" customHeight="1">
      <c r="A15" s="22" t="n"/>
      <c r="B15" s="13" t="inlineStr">
        <is>
          <t>Re-rank α·cosine + (1−α)·điểm đồ thị, chọn α trên validation</t>
        </is>
      </c>
      <c r="C15" s="13" t="inlineStr">
        <is>
          <t>Visual Genome ∩ COCO</t>
        </is>
      </c>
      <c r="D15" s="12" t="inlineStr">
        <is>
          <t>Chính</t>
        </is>
      </c>
      <c r="E15" s="12" t="n"/>
      <c r="F15" s="12" t="n"/>
      <c r="G15" s="12" t="n"/>
      <c r="H15" s="12" t="n"/>
      <c r="I15" s="12" t="inlineStr">
        <is>
          <t>Đang làm</t>
        </is>
      </c>
    </row>
    <row r="16" ht="30" customHeight="1">
      <c r="A16" s="22" t="n"/>
      <c r="B16" s="13" t="inlineStr">
        <is>
          <t>Ablation: bỏ cạnh quan hệ (chỉ còn đối tượng), xáo cạnh trong scene graph, scene graph ngẫu nhiên</t>
        </is>
      </c>
      <c r="C16" s="13" t="inlineStr">
        <is>
          <t>Visual Genome ∩ COCO</t>
        </is>
      </c>
      <c r="D16" s="12" t="inlineStr">
        <is>
          <t>Chính</t>
        </is>
      </c>
      <c r="E16" s="12" t="n"/>
      <c r="F16" s="12" t="n"/>
      <c r="G16" s="12" t="n"/>
      <c r="H16" s="12" t="n"/>
      <c r="I16" s="12" t="inlineStr">
        <is>
          <t>Đang làm</t>
        </is>
      </c>
    </row>
    <row r="17" ht="30" customHeight="1">
      <c r="A17" s="22" t="n"/>
      <c r="B17" s="13" t="inlineStr">
        <is>
          <t>Giải thích cơ bản: các cặp bộ ba khớp giữa truy vấn và ảnh, kèm đóng góp của từng cặp vào điểm đồ thị</t>
        </is>
      </c>
      <c r="C17" s="13" t="inlineStr">
        <is>
          <t>Visual Genome ∩ COCO</t>
        </is>
      </c>
      <c r="D17" s="12" t="inlineStr">
        <is>
          <t>Chính</t>
        </is>
      </c>
      <c r="E17" s="12" t="n"/>
      <c r="F17" s="12" t="n"/>
      <c r="G17" s="12" t="n"/>
      <c r="H17" s="12" t="n"/>
      <c r="I17" s="12" t="inlineStr">
        <is>
          <t>Đang làm</t>
        </is>
      </c>
    </row>
    <row r="18" ht="43.5" customHeight="1">
      <c r="A18" s="22" t="n"/>
      <c r="B18" s="13" t="inlineStr">
        <is>
          <t>Platform demo (web app): nhập truy vấn → top-k ảnh, so CLIP thuần với CLIP + Graph, hiển thị đường đi giải thích; dựng trên baseline trước, cắm thêm đồ thị sau</t>
        </is>
      </c>
      <c r="C18" s="13" t="inlineStr">
        <is>
          <t>Visual Genome ∩ COCO</t>
        </is>
      </c>
      <c r="D18" s="12" t="inlineStr">
        <is>
          <t>Chính</t>
        </is>
      </c>
      <c r="E18" s="12" t="n"/>
      <c r="F18" s="12" t="n"/>
      <c r="G18" s="12" t="n"/>
      <c r="H18" s="12" t="n"/>
      <c r="I18" s="12" t="inlineStr">
        <is>
          <t>Đang làm</t>
        </is>
      </c>
    </row>
    <row r="19" ht="30" customHeight="1">
      <c r="A19" s="23" t="n"/>
      <c r="B19" s="13" t="inlineStr">
        <is>
          <t>Phân tích 5 truy vấn thành công + 5 thất bại</t>
        </is>
      </c>
      <c r="C19" s="13" t="inlineStr">
        <is>
          <t>Visual Genome ∩ COCO</t>
        </is>
      </c>
      <c r="D19" s="12" t="n"/>
      <c r="E19" s="12" t="n"/>
      <c r="F19" s="12" t="n"/>
      <c r="G19" s="12" t="n"/>
      <c r="H19" s="12" t="n"/>
      <c r="I19" s="12" t="inlineStr">
        <is>
          <t>Chưa bắt đầu</t>
        </is>
      </c>
    </row>
    <row r="20" ht="43.5" customHeight="1">
      <c r="A20" s="4" t="inlineStr">
        <is>
          <t>2. Cấp độ 2 (trần 8.5)</t>
        </is>
      </c>
      <c r="B20" s="14" t="inlineStr">
        <is>
          <t>Dữ liệu MKG-W: kiểm tra ảnh gốc + mô tả text, sinh truy vấn từ mô tả đã che tên, chia truy vấn và triple theo split</t>
        </is>
      </c>
      <c r="C20" s="14" t="inlineStr">
        <is>
          <t>MKG-W</t>
        </is>
      </c>
      <c r="D20" s="12" t="n"/>
      <c r="E20" s="12" t="inlineStr">
        <is>
          <t>Chính</t>
        </is>
      </c>
      <c r="F20" s="12" t="n"/>
      <c r="G20" s="12" t="n"/>
      <c r="H20" s="12" t="n"/>
      <c r="I20" s="12" t="inlineStr">
        <is>
          <t>Chưa bắt đầu</t>
        </is>
      </c>
    </row>
    <row r="21" ht="30" customHeight="1">
      <c r="A21" s="22" t="n"/>
      <c r="B21" s="14" t="inlineStr">
        <is>
          <t>Chạy lại CLIP thuần và CLIP + GNN trên MKG-W</t>
        </is>
      </c>
      <c r="C21" s="14" t="inlineStr">
        <is>
          <t>MKG-W</t>
        </is>
      </c>
      <c r="D21" s="12" t="n"/>
      <c r="E21" s="12" t="n"/>
      <c r="F21" s="12" t="n"/>
      <c r="G21" s="21" t="n"/>
      <c r="H21" s="12" t="n"/>
      <c r="I21" s="12" t="inlineStr">
        <is>
          <t>Chưa bắt đầu</t>
        </is>
      </c>
    </row>
    <row r="22" ht="43.5" customHeight="1">
      <c r="A22" s="22" t="n"/>
      <c r="B22" s="14" t="inlineStr">
        <is>
          <t>Tái lập NativE hoặc AdaMF-MAT, bước a: link prediction gốc, so với số trong bài báo</t>
        </is>
      </c>
      <c r="C22" s="14" t="inlineStr">
        <is>
          <t>MKG-W</t>
        </is>
      </c>
      <c r="D22" s="12" t="n"/>
      <c r="E22" s="12" t="inlineStr">
        <is>
          <t>Chính</t>
        </is>
      </c>
      <c r="F22" s="12" t="n"/>
      <c r="G22" s="12" t="n"/>
      <c r="H22" s="12" t="n"/>
      <c r="I22" s="12" t="inlineStr">
        <is>
          <t>Chưa bắt đầu</t>
        </is>
      </c>
    </row>
    <row r="23" ht="30" customHeight="1">
      <c r="A23" s="22" t="n"/>
      <c r="B23" s="14" t="inlineStr">
        <is>
          <t>Tái lập, bước b: dùng embedding thực thể thay GNN trong điểm đồ thị</t>
        </is>
      </c>
      <c r="C23" s="14" t="inlineStr">
        <is>
          <t>MKG-W (+ Visual Genome nếu kịp)</t>
        </is>
      </c>
      <c r="D23" s="12" t="n"/>
      <c r="E23" s="12" t="inlineStr">
        <is>
          <t>Chính</t>
        </is>
      </c>
      <c r="F23" s="12" t="n"/>
      <c r="G23" s="12" t="n"/>
      <c r="H23" s="12" t="n"/>
      <c r="I23" s="12" t="inlineStr">
        <is>
          <t>Chưa bắt đầu</t>
        </is>
      </c>
    </row>
    <row r="24" ht="43.5" customHeight="1">
      <c r="A24" s="22" t="n"/>
      <c r="B24" s="14" t="inlineStr">
        <is>
          <t>Soạn bộ ≥20 truy vấn mỗi tập (trực tiếp, gián tiếp, đảo quan hệ) + mô tả cách xây và kiểm tra</t>
        </is>
      </c>
      <c r="C24" s="14" t="inlineStr">
        <is>
          <t>Visual Genome ∩ COCO, MKG-W</t>
        </is>
      </c>
      <c r="D24" s="12" t="n"/>
      <c r="E24" s="12" t="n"/>
      <c r="F24" s="12" t="n"/>
      <c r="G24" s="12" t="inlineStr">
        <is>
          <t>Chính</t>
        </is>
      </c>
      <c r="H24" s="12" t="n"/>
      <c r="I24" s="12" t="inlineStr">
        <is>
          <t>Chưa bắt đầu</t>
        </is>
      </c>
    </row>
    <row r="25" ht="30" customHeight="1">
      <c r="A25" s="22" t="n"/>
      <c r="B25" s="14" t="inlineStr">
        <is>
          <t>Báo cáo kết quả tách nhóm trực tiếp / gián tiếp</t>
        </is>
      </c>
      <c r="C25" s="14" t="inlineStr">
        <is>
          <t>Visual Genome ∩ COCO, MKG-W</t>
        </is>
      </c>
      <c r="D25" s="12" t="n"/>
      <c r="E25" s="12" t="n"/>
      <c r="F25" s="12" t="n"/>
      <c r="G25" s="12" t="n"/>
      <c r="H25" s="12" t="n"/>
      <c r="I25" s="12" t="inlineStr">
        <is>
          <t>Chưa bắt đầu</t>
        </is>
      </c>
    </row>
    <row r="26" ht="30" customHeight="1">
      <c r="A26" s="23" t="n"/>
      <c r="B26" s="14" t="inlineStr">
        <is>
          <t>Mở rộng (chọn 1–2): độ nhạy theo α, so các cách tạo cạnh, lớp khái niệm ConceptNet cho truy vấn gián tiếp (bật/tắt là một ablation)</t>
        </is>
      </c>
      <c r="C26" s="14" t="inlineStr">
        <is>
          <t>Visual Genome ∩ COCO, MKG-W</t>
        </is>
      </c>
      <c r="D26" s="12" t="n"/>
      <c r="E26" s="12" t="inlineStr">
        <is>
          <t>Chính</t>
        </is>
      </c>
      <c r="F26" s="12" t="n"/>
      <c r="G26" s="12" t="n"/>
      <c r="H26" s="12" t="n"/>
      <c r="I26" s="12" t="inlineStr">
        <is>
          <t>Chưa bắt đầu</t>
        </is>
      </c>
    </row>
    <row r="27" ht="30" customHeight="1">
      <c r="A27" s="3" t="inlineStr">
        <is>
          <t>3. Cấp độ 3 (trần 10)</t>
        </is>
      </c>
      <c r="B27" s="15" t="inlineStr">
        <is>
          <t>Chốt định nghĩa fidelity / validity / sparsity</t>
        </is>
      </c>
      <c r="C27" s="15" t="inlineStr">
        <is>
          <t>—</t>
        </is>
      </c>
      <c r="D27" s="12" t="n"/>
      <c r="E27" s="12" t="n"/>
      <c r="F27" s="12" t="n"/>
      <c r="G27" s="12" t="inlineStr">
        <is>
          <t>Chính</t>
        </is>
      </c>
      <c r="H27" s="12" t="n"/>
      <c r="I27" s="12" t="inlineStr">
        <is>
          <t>Chưa bắt đầu</t>
        </is>
      </c>
    </row>
    <row r="28" ht="30" customHeight="1">
      <c r="A28" s="22" t="n"/>
      <c r="B28" s="15" t="inlineStr">
        <is>
          <t>Cài đặt fidelity (bỏ cạnh giải thích so với bỏ cạnh ngẫu nhiên) và sparsity</t>
        </is>
      </c>
      <c r="C28" s="15" t="inlineStr">
        <is>
          <t>Visual Genome ∩ COCO, MKG-W</t>
        </is>
      </c>
      <c r="D28" s="12" t="n"/>
      <c r="E28" s="12" t="n"/>
      <c r="F28" s="12" t="n"/>
      <c r="G28" s="12" t="inlineStr">
        <is>
          <t>Chính</t>
        </is>
      </c>
      <c r="H28" s="12" t="n"/>
      <c r="I28" s="12" t="inlineStr">
        <is>
          <t>Chưa bắt đầu</t>
        </is>
      </c>
    </row>
    <row r="29" ht="30" customHeight="1">
      <c r="A29" s="22" t="n"/>
      <c r="B29" s="15" t="inlineStr">
        <is>
          <t>Chấm validity trên ≥10 truy vấn</t>
        </is>
      </c>
      <c r="C29" s="15" t="inlineStr">
        <is>
          <t>Visual Genome ∩ COCO, MKG-W</t>
        </is>
      </c>
      <c r="D29" s="12" t="n"/>
      <c r="E29" s="12" t="n"/>
      <c r="F29" s="12" t="n"/>
      <c r="G29" s="12" t="inlineStr">
        <is>
          <t>Chính</t>
        </is>
      </c>
      <c r="H29" s="12" t="n"/>
      <c r="I29" s="12" t="inlineStr">
        <is>
          <t>Chưa bắt đầu</t>
        </is>
      </c>
    </row>
    <row r="30" ht="43.5" customHeight="1">
      <c r="A30" s="22" t="n"/>
      <c r="B30" s="15" t="inlineStr">
        <is>
          <t>MMKG tiếng Việt: chọn miền, thu thập thực thể / triple / ảnh (Wikidata, Wikimedia Commons), liên kết ảnh–thực thể</t>
        </is>
      </c>
      <c r="C30" s="15" t="inlineStr">
        <is>
          <t>MMKG tiếng Việt</t>
        </is>
      </c>
      <c r="D30" s="12" t="n"/>
      <c r="E30" s="12" t="n"/>
      <c r="F30" s="12" t="n"/>
      <c r="G30" s="12" t="n"/>
      <c r="H30" s="12" t="n"/>
      <c r="I30" s="12" t="inlineStr">
        <is>
          <t>Chưa bắt đầu</t>
        </is>
      </c>
    </row>
    <row r="31" ht="30" customHeight="1">
      <c r="A31" s="22" t="n"/>
      <c r="B31" s="15" t="inlineStr">
        <is>
          <t>MMKG tiếng Việt: soạn truy vấn tiếng Việt, viết data card</t>
        </is>
      </c>
      <c r="C31" s="15" t="inlineStr">
        <is>
          <t>MMKG tiếng Việt</t>
        </is>
      </c>
      <c r="D31" s="12" t="n"/>
      <c r="E31" s="12" t="n"/>
      <c r="F31" s="12" t="n"/>
      <c r="G31" s="12" t="n"/>
      <c r="H31" s="12" t="n"/>
      <c r="I31" s="12" t="inlineStr">
        <is>
          <t>Chưa bắt đầu</t>
        </is>
      </c>
    </row>
    <row r="32" ht="30" customHeight="1">
      <c r="A32" s="23" t="n"/>
      <c r="B32" s="15" t="inlineStr">
        <is>
          <t>Chạy phương pháp tốt nhất trên MMKG tiếng Việt, phân tích chuyển giao</t>
        </is>
      </c>
      <c r="C32" s="15" t="inlineStr">
        <is>
          <t>MMKG tiếng Việt</t>
        </is>
      </c>
      <c r="D32" s="12" t="n"/>
      <c r="E32" s="12" t="n"/>
      <c r="F32" s="12" t="n"/>
      <c r="G32" s="12" t="n"/>
      <c r="H32" s="12" t="n"/>
      <c r="I32" s="12" t="inlineStr">
        <is>
          <t>Chưa bắt đầu</t>
        </is>
      </c>
    </row>
    <row r="33" ht="43.5" customHeight="1">
      <c r="A33" s="2" t="inlineStr">
        <is>
          <t>4. Mở rộng tự chọn (+1.0 – 2.0)</t>
        </is>
      </c>
      <c r="B33" s="16" t="inlineStr">
        <is>
          <t>Hướng (a): α thích nghi theo truy vấn hoặc cách chọn đường đi giải thích; giả thuyết + ablation trên 2 tập</t>
        </is>
      </c>
      <c r="C33" s="16" t="inlineStr">
        <is>
          <t>Visual Genome ∩ COCO, MKG-W</t>
        </is>
      </c>
      <c r="D33" s="12" t="n"/>
      <c r="E33" s="12" t="n"/>
      <c r="F33" s="12" t="n"/>
      <c r="G33" s="12" t="n"/>
      <c r="H33" s="12" t="n"/>
      <c r="I33" s="12" t="inlineStr">
        <is>
          <t>Chưa bắt đầu</t>
        </is>
      </c>
    </row>
    <row r="34" ht="30" customHeight="1">
      <c r="A34" s="23" t="n"/>
      <c r="B34" s="16" t="inlineStr">
        <is>
          <t>Hướng (c): khảo sát người dùng có đối chứng (nếu còn thời gian)</t>
        </is>
      </c>
      <c r="C34" s="16" t="inlineStr">
        <is>
          <t>—</t>
        </is>
      </c>
      <c r="D34" s="12" t="n"/>
      <c r="E34" s="12" t="n"/>
      <c r="F34" s="12" t="n"/>
      <c r="G34" s="12" t="n"/>
      <c r="H34" s="12" t="n"/>
      <c r="I34" s="12" t="inlineStr">
        <is>
          <t>Chưa bắt đầu</t>
        </is>
      </c>
    </row>
    <row r="35" ht="30" customHeight="1">
      <c r="A35" s="6" t="inlineStr">
        <is>
          <t>5. Sản phẩm nộp</t>
        </is>
      </c>
      <c r="B35" s="11" t="inlineStr">
        <is>
          <t>Báo cáo kỹ thuật 12–18 trang (chia phần theo mảng đã làm)</t>
        </is>
      </c>
      <c r="C35" s="11" t="inlineStr">
        <is>
          <t>—</t>
        </is>
      </c>
      <c r="D35" s="12" t="n"/>
      <c r="E35" s="12" t="n"/>
      <c r="F35" s="12" t="n"/>
      <c r="G35" s="12" t="n"/>
      <c r="H35" s="12" t="n"/>
      <c r="I35" s="12" t="inlineStr">
        <is>
          <t>Chưa bắt đầu</t>
        </is>
      </c>
    </row>
    <row r="36" ht="30" customHeight="1">
      <c r="A36" s="22" t="n"/>
      <c r="B36" s="11" t="inlineStr">
        <is>
          <t>Slide trình bày ≤20 phút</t>
        </is>
      </c>
      <c r="C36" s="11" t="inlineStr">
        <is>
          <t>—</t>
        </is>
      </c>
      <c r="D36" s="12" t="n"/>
      <c r="E36" s="12" t="n"/>
      <c r="F36" s="12" t="n"/>
      <c r="G36" s="12" t="n"/>
      <c r="H36" s="12" t="n"/>
      <c r="I36" s="12" t="inlineStr">
        <is>
          <t>Chưa bắt đầu</t>
        </is>
      </c>
    </row>
    <row r="37" ht="30" customHeight="1">
      <c r="A37" s="22" t="n"/>
      <c r="B37" s="11" t="inlineStr">
        <is>
          <t>Demo chạy trực tiếp + video dự phòng ≤5 phút</t>
        </is>
      </c>
      <c r="C37" s="11" t="inlineStr">
        <is>
          <t>—</t>
        </is>
      </c>
      <c r="D37" s="12" t="n"/>
      <c r="E37" s="12" t="n"/>
      <c r="F37" s="12" t="n"/>
      <c r="G37" s="12" t="n"/>
      <c r="H37" s="12" t="n"/>
      <c r="I37" s="12" t="inlineStr">
        <is>
          <t>Chưa bắt đầu</t>
        </is>
      </c>
    </row>
    <row r="38" ht="43.5" customHeight="1">
      <c r="A38" s="23" t="n"/>
      <c r="B38" s="11" t="inlineStr">
        <is>
          <t>README chạy lại, mô tả chống rò rỉ, khai báo dùng AI / mã nguồn mở, bảng phân công cuối</t>
        </is>
      </c>
      <c r="C38" s="11" t="inlineStr">
        <is>
          <t>—</t>
        </is>
      </c>
      <c r="D38" s="12" t="inlineStr">
        <is>
          <t>Hỗ trợ</t>
        </is>
      </c>
      <c r="E38" s="12" t="n"/>
      <c r="F38" s="12" t="n"/>
      <c r="G38" s="12" t="n"/>
      <c r="H38" s="12" t="n"/>
      <c r="I38" s="12" t="inlineStr">
        <is>
          <t>Chưa bắt đầu</t>
        </is>
      </c>
    </row>
    <row r="40">
      <c r="C40" s="17" t="inlineStr">
        <is>
          <t>Số việc Chính</t>
        </is>
      </c>
      <c r="D40" s="12">
        <f>COUNTIF(D6:D38,"Chính")</f>
        <v/>
      </c>
      <c r="E40" s="12">
        <f>COUNTIF(E6:E38,"Chính")</f>
        <v/>
      </c>
      <c r="F40" s="12">
        <f>COUNTIF(F6:F38,"Chính")</f>
        <v/>
      </c>
      <c r="G40" s="12">
        <f>COUNTIF(G6:G38,"Chính")</f>
        <v/>
      </c>
      <c r="H40" s="12">
        <f>COUNTIF(H6:H38,"Chính")</f>
        <v/>
      </c>
    </row>
    <row r="41">
      <c r="C41" s="17" t="inlineStr">
        <is>
          <t>Số việc Hỗ trợ</t>
        </is>
      </c>
      <c r="D41" s="12">
        <f>COUNTIF(D6:D38,"Hỗ trợ")</f>
        <v/>
      </c>
      <c r="E41" s="12">
        <f>COUNTIF(E6:E38,"Hỗ trợ")</f>
        <v/>
      </c>
      <c r="F41" s="12">
        <f>COUNTIF(F6:F38,"Hỗ trợ")</f>
        <v/>
      </c>
      <c r="G41" s="12">
        <f>COUNTIF(G6:G38,"Hỗ trợ")</f>
        <v/>
      </c>
      <c r="H41" s="12">
        <f>COUNTIF(H6:H38,"Hỗ trợ")</f>
        <v/>
      </c>
    </row>
  </sheetData>
  <mergeCells count="9">
    <mergeCell ref="A2:I2"/>
    <mergeCell ref="A33:A34"/>
    <mergeCell ref="A6:A9"/>
    <mergeCell ref="A1:I1"/>
    <mergeCell ref="A10:A19"/>
    <mergeCell ref="A3:I3"/>
    <mergeCell ref="A35:A38"/>
    <mergeCell ref="A20:A26"/>
    <mergeCell ref="A27:A32"/>
  </mergeCells>
  <dataValidations count="2">
    <dataValidation sqref="D6:H38" showDropDown="0" showInputMessage="0" showErrorMessage="0" allowBlank="1" type="list">
      <formula1>"Chính,Hỗ trợ"</formula1>
      <formula2>0</formula2>
    </dataValidation>
    <dataValidation sqref="I6:I38" showDropDown="0" showInputMessage="0" showErrorMessage="0" allowBlank="1" type="list">
      <formula1>"Chưa bắt đầu,Đang làm,Xong,Bị chặn"</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25"/>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10" defaultColWidth="8.6640625" defaultRowHeight="15"/>
  <cols>
    <col width="7" customWidth="1" min="1" max="1"/>
    <col width="20" customWidth="1" min="2" max="2"/>
    <col width="34" customWidth="1" min="3" max="3"/>
    <col width="58" customWidth="1" min="4" max="4"/>
    <col width="36" customWidth="1" min="5" max="5"/>
    <col width="26" customWidth="1" min="6" max="6"/>
    <col width="50" customWidth="1" min="7" max="7"/>
    <col width="36" customWidth="1" min="8" max="8"/>
    <col width="12" customWidth="1" min="9" max="9"/>
  </cols>
  <sheetData>
    <row r="1" ht="18" customHeight="1">
      <c r="A1" s="9" t="inlineStr">
        <is>
          <t>Cấp độ 1 — Visual Genome ∩ COCO: thông tin để làm từng bước</t>
        </is>
      </c>
    </row>
    <row r="2" ht="83.3" customHeight="1">
      <c r="A2" s="7" t="inlineStr">
        <is>
          <t>Luồng (thiết kế cuối, plan bản 7, đã chạy xong 2026-09-25): truy vấn (caption COCO) → CLIP đóng băng → top-50 theo cosine → tách truy vấn thành đồ thị nhỏ (sng_parser) → một bộ mã hoá dùng chung (chiếu 512→256, 2 lớp GATv2, MLP bộ ba, residual U khởi tạo 0) cho đồ thị câu và scene graph của từng ảnh ứng viên → hai kênh khớp (vật thể↔vật thể, bộ ba↔bộ ba, attention hai lớp) → trộn a·z(CLIP) + (1−a)·Graph với a, b, c theo từng câu → xếp hạng lại → giải thích bằng chính các cặp khớp. Mỗi ảnh một đồ thị riêng, nhãn mở (không lọc VG150), không dùng ConceptNet ở cấp độ 1. Mô tả đầy đủ: docs/level1-model.md; kết quả: experiments/level1/README.md.</t>
        </is>
      </c>
    </row>
    <row r="4" ht="27.75" customHeight="1">
      <c r="A4" s="10" t="inlineStr">
        <is>
          <t>Bước</t>
        </is>
      </c>
      <c r="B4" s="10" t="inlineStr">
        <is>
          <t>Việc</t>
        </is>
      </c>
      <c r="C4" s="10" t="inlineStr">
        <is>
          <t>Đầu vào</t>
        </is>
      </c>
      <c r="D4" s="10" t="inlineStr">
        <is>
          <t>Cách làm</t>
        </is>
      </c>
      <c r="E4" s="10" t="inlineStr">
        <is>
          <t>Đầu ra (file)</t>
        </is>
      </c>
      <c r="F4" s="10" t="inlineStr">
        <is>
          <t>Công cụ</t>
        </is>
      </c>
      <c r="G4" s="10" t="inlineStr">
        <is>
          <t>Lưu ý rò rỉ / rủi ro</t>
        </is>
      </c>
      <c r="H4" s="10" t="inlineStr">
        <is>
          <t>Tiêu chí xong</t>
        </is>
      </c>
      <c r="I4" s="10" t="inlineStr">
        <is>
          <t>Phụ thuộc</t>
        </is>
      </c>
    </row>
    <row r="5" ht="84" customHeight="1">
      <c r="A5" s="18" t="inlineStr">
        <is>
          <t>1.1</t>
        </is>
      </c>
      <c r="B5" s="18" t="inlineStr">
        <is>
          <t>Tải dữ liệu</t>
        </is>
      </c>
      <c r="C5" s="19" t="inlineStr">
        <is>
          <t>Visual Genome v1.4: image_data.json, objects.json, relationships.json, object_alias.txt, relationship_alias.txt. COCO 2014: captions_train2014.json, captions_val2014.json. Split Karpathy: dataset_coco.json.</t>
        </is>
      </c>
      <c r="D5" s="19" t="inlineStr">
        <is>
          <t>Chỉ tải file JSON trước (vài trăm MB). Ảnh KHÔNG tải cả bộ (~15 GB): sau bước 1.2 mới tải đúng các ảnh trong tập con theo trường url của image_data.json.</t>
        </is>
      </c>
      <c r="E5" s="19" t="inlineStr">
        <is>
          <t>data/raw/visual_genome/*.json
data/raw/coco/*.json
data/README.md (link + checksum)</t>
        </is>
      </c>
      <c r="F5" s="19" t="inlineStr">
        <is>
          <t>scripts/download_data.py, requests</t>
        </is>
      </c>
      <c r="G5" s="19" t="inlineStr">
        <is>
          <t>Dữ liệu lớn không commit. Ghi phiên bản và ngày tải vì đề dặn thống kê có thể đổi theo phiên bản.</t>
        </is>
      </c>
      <c r="H5" s="19" t="inlineStr">
        <is>
          <t>Chạy lại script trên máy khác ra đúng các file, có checksum.</t>
        </is>
      </c>
      <c r="I5" s="19" t="inlineStr">
        <is>
          <t>—</t>
        </is>
      </c>
    </row>
    <row r="6" ht="84" customHeight="1">
      <c r="A6" s="18" t="inlineStr">
        <is>
          <t>1.2</t>
        </is>
      </c>
      <c r="B6" s="18" t="inlineStr">
        <is>
          <t>Join, tập con, split</t>
        </is>
      </c>
      <c r="C6" s="19" t="inlineStr">
        <is>
          <t>image_data.json (trường coco_id), dataset_coco.json (split Karpathy), captions COCO.</t>
        </is>
      </c>
      <c r="D6" s="19" t="inlineStr">
        <is>
          <t>Giữ ảnh có coco_id khác null. Gán split theo Karpathy (restval gộp vào train). Lấy TOÀN BỘ phần giao, không lấy mẫu (chốt 2026-09-18): train 46 944, val 2 126, test 2 138 ảnh; 290 ảnh Visual Genome bị bỏ vì trùng coco_id. Tải ảnh bằng scripts/download_images.py (chỉ cần trên máy trích đặc trưng).</t>
        </is>
      </c>
      <c r="E6" s="19" t="inlineStr">
        <is>
          <t>data/splits/vg_coco_train.json, _val.json, _test.json
data/raw/images/
experiments/data_stats.md</t>
        </is>
      </c>
      <c r="F6" s="19" t="inlineStr">
        <is>
          <t>src/data/build_split.py, scripts/download_images.py</t>
        </is>
      </c>
      <c r="G6" s="19" t="inlineStr">
        <is>
          <t>Split lấy theo chuẩn có sẵn, không tự chia lại và không lấy mẫu nên không phụ thuộc seed. File split nộp kèm (Mục 6).</t>
        </is>
      </c>
      <c r="H6" s="19" t="inlineStr">
        <is>
          <t>Ba file split cố định; chạy lại cùng seed ra đúng danh sách; bảng thống kê có số thật.</t>
        </is>
      </c>
      <c r="I6" s="19" t="inlineStr">
        <is>
          <t>1.1</t>
        </is>
      </c>
    </row>
    <row r="7" ht="55.5" customHeight="1">
      <c r="A7" s="18" t="inlineStr">
        <is>
          <t>1.3</t>
        </is>
      </c>
      <c r="B7" s="18" t="inlineStr">
        <is>
          <t>Trích đặc trưng CLIP</t>
        </is>
      </c>
      <c r="C7" s="19" t="inlineStr">
        <is>
          <t>Ảnh và caption của tập con; mọi nhãn vật thể, nhãn quan hệ và cụm bộ ba xuất hiện trong scene graph và đồ thị câu (nhãn mở, không lọc VG150).</t>
        </is>
      </c>
      <c r="D7" s="19" t="inlineStr">
        <is>
          <t>open_clip ViT-B-32-quickgelu (trọng số openai), đóng băng, chuẩn hoá L2. Trích một lần: vector ảnh, vector caption, và bảng vector phần tử: node theo mẫu "a photo of a {nhãn}", quan hệ và bộ ba mã hoá nguyên văn (582 085 dòng).</t>
        </is>
      </c>
      <c r="E7" s="19" t="inlineStr">
        <is>
          <t>data/features/vg_coco_image.npy, vg_coco_caption.npy, vg_coco_graph_parts.npy + file .ids.json (checksum trong data/MANIFEST.md)</t>
        </is>
      </c>
      <c r="F7" s="19" t="inlineStr">
        <is>
          <t>src/features/extract_clip.py, open_clip, torch</t>
        </is>
      </c>
      <c r="G7" s="19" t="inlineStr">
        <is>
          <t>Encoder đóng băng nên không có gì học từ test. Ghi tên model + pretrained tag vào config để tái lập.</t>
        </is>
      </c>
      <c r="H7" s="19" t="inlineStr">
        <is>
          <t>Số dòng khớp số ảnh / caption / phần tử; chuẩn của mỗi vector = 1; đã kiểm tra với MSCOCO 5K (experiments/checks/README.md).</t>
        </is>
      </c>
      <c r="I7" s="19" t="inlineStr">
        <is>
          <t>1.2, giai đoạn 0</t>
        </is>
      </c>
    </row>
    <row r="8" ht="55.5" customHeight="1">
      <c r="A8" s="18" t="inlineStr">
        <is>
          <t>1.4</t>
        </is>
      </c>
      <c r="B8" s="18" t="inlineStr">
        <is>
          <t>Baseline CLIP thuần</t>
        </is>
      </c>
      <c r="C8" s="19" t="inlineStr">
        <is>
          <t>image_feats, caption_feats, split test.</t>
        </is>
      </c>
      <c r="D8" s="19" t="inlineStr">
        <is>
          <t>FAISS IndexFlatIP trên ảnh của split test (pool ứng viên). Mỗi caption test là một truy vấn, đáp án đúng là ảnh gốc của nó. Tính Recall@1/5/10, MRR. Lưu top-50 cho từng truy vấn để các bước sau xếp hạng lại.</t>
        </is>
      </c>
      <c r="E8" s="19" t="inlineStr">
        <is>
          <t>experiments/level1/clip_baseline/metrics.json
experiments/level1/clip_baseline/top50_{val,test}.npy</t>
        </is>
      </c>
      <c r="F8" s="19" t="inlineStr">
        <is>
          <t>src/retrieval/clip_baseline.py, src/eval/metrics.py, faiss</t>
        </is>
      </c>
      <c r="G8" s="19" t="inlineStr">
        <is>
          <t>Kiểm tra pipeline: đối chiếu sơ bộ với Recall@1 zero-shot text→image của CLIP trên COCO đã công bố (cần tra lại số cho đúng model; pool nhỏ hơn 5k thì số của nhóm cao hơn). Lệch quá xa = có lỗi.</t>
        </is>
      </c>
      <c r="H8" s="19" t="inlineStr">
        <is>
          <t>Có bảng R@1/5/10, MRR trên val và test; baseline không có ngẫu nhiên nên 1 lần chạy là đủ.</t>
        </is>
      </c>
      <c r="I8" s="19" t="inlineStr">
        <is>
          <t>1.3</t>
        </is>
      </c>
    </row>
    <row r="9" ht="84" customHeight="1">
      <c r="A9" s="18" t="inlineStr">
        <is>
          <t>1.5</t>
        </is>
      </c>
      <c r="B9" s="18" t="inlineStr">
        <is>
          <t>Dựng đồ thị</t>
        </is>
      </c>
      <c r="C9" s="19" t="inlineStr">
        <is>
          <t>objects.json, relationships.json, alias của Visual Genome, file split.</t>
        </is>
      </c>
      <c r="D9" s="19" t="inlineStr">
        <is>
          <t>Chuẩn hoá tên theo alias, giữ nhãn mở (không lọc VG150). Mỗi ảnh một đồ thị riêng: node = từng instance vật thể (kể cả trùng nhãn), cạnh có hướng = quan hệ, gộp quan hệ trùng cả chủ thể, nhãn và đối tượng; mỗi cạnh cho một bộ ba (chủ thể, quan hệ, đối tượng). Đặc trưng node/cạnh/bộ ba = vector CLIP text đóng băng (bước 1.3). Đã đo độ phủ caption trước khi viết GNN.</t>
        </is>
      </c>
      <c r="E9" s="19" t="inlineStr">
        <is>
          <t>data/graphs/vg_coco_scene_graphs.jsonl (mỗi dòng một ảnh)
experiments/checks/scene_graph_coverage.json
experiments/level1/data_packaging/summary.json</t>
        </is>
      </c>
      <c r="F9" s="19" t="inlineStr">
        <is>
          <t>scripts/build_graph_data.py, src/graph/scene_graph.py, src/graph/coverage.py</t>
        </is>
      </c>
      <c r="G9" s="16" t="inlineStr">
        <is>
          <t>Đồ thị của ảnh nào chỉ chứa chú thích của chính ảnh đó, không có cạnh gộp qua nhiều ảnh, nên không có thống kê nào của val/test lọt vào huấn luyện; mô hình học trên ảnh TRAIN rồi áp lên ảnh val/test như dữ liệu mới. Hạn chế phải ghi rõ: scene graph của ảnh ứng viên là chú thích gán tay, ảnh mới ngoài thực tế không có sẵn.</t>
        </is>
      </c>
      <c r="H9" s="19" t="inlineStr">
        <is>
          <t>Thống kê: trung bình 26,7 node và 18,0 cạnh mỗi ảnh (train + val), 3,0% ảnh không có cạnh (docs/level1-model.md mục 1).</t>
        </is>
      </c>
      <c r="I9" s="19" t="inlineStr">
        <is>
          <t>1.2</t>
        </is>
      </c>
    </row>
    <row r="10" ht="55.5" customHeight="1">
      <c r="A10" s="18" t="inlineStr">
        <is>
          <t>1.6</t>
        </is>
      </c>
      <c r="B10" s="18" t="inlineStr">
        <is>
          <t>Đồ thị truy vấn</t>
        </is>
      </c>
      <c r="C10" s="19" t="inlineStr">
        <is>
          <t>Caption (truy vấn) của cả ba split.</t>
        </is>
      </c>
      <c r="D10" s="19" t="inlineStr">
        <is>
          <t>Tách caption bằng sng_parser (SceneGraphParser, dựa trên spaCy en_core_web_sm): vật thể = lemma_head viết thường, quan hệ = cạnh parser trả về, ví dụ "a child playing with a ball" → (child, playing with, ball). Bỏ đại từ (it, they, ...). Nhãn không có trong VG vẫn giữ vì node mang vector CLIP text. Câu không tách được bộ ba thì kênh bộ ba trung tính; không có vật thể thì chỉ còn điểm CLIP. Tách đồ thị câu test từ văn bản là xử lý dữ liệu, không phải đánh giá.</t>
        </is>
      </c>
      <c r="E10" s="19" t="inlineStr">
        <is>
          <t>data/processed/query_graphs_{train,val,test}.json</t>
        </is>
      </c>
      <c r="F10" s="19" t="inlineStr">
        <is>
          <t>src/graph/parse_query.py, spacy (en_core_web_sm), SceneGraphParser</t>
        </is>
      </c>
      <c r="G10" s="19" t="inlineStr">
        <is>
          <t>Bước này không học gì nên không rò rỉ. Rủi ro lớn nhất của cả cấp độ 1: bộ tách bắt sai hoặc bỏ sót quan hệ thì các bước sau vô nghĩa, nên đo ở bước 1.5 trước khi viết GNN.</t>
        </is>
      </c>
      <c r="H10" s="19" t="inlineStr">
        <is>
          <t>Trung bình 3,06 vật thể và 1,65 quan hệ mỗi câu; 14,2% câu val không có bộ ba nào.</t>
        </is>
      </c>
      <c r="I10" s="19" t="inlineStr">
        <is>
          <t>1.5</t>
        </is>
      </c>
    </row>
    <row r="11" ht="84" customHeight="1">
      <c r="A11" s="18" t="inlineStr">
        <is>
          <t>1.7</t>
        </is>
      </c>
      <c r="B11" s="18" t="inlineStr">
        <is>
          <t>GNN và điểm đồ thị</t>
        </is>
      </c>
      <c r="C11" s="19" t="inlineStr">
        <is>
          <t>Scene graph từng ảnh, đồ thị câu, bảng vector phần tử, top-50 CLIP (ứng viên train lấy trong nhóm của ảnh đúng, 22 nhóm cố định chỉ từ train).</t>
        </is>
      </c>
      <c r="D11" s="19" t="inlineStr">
        <is>
          <t>Mô hình GraphReranker (1 054 214 tham số): chiếu 512→256, 2 lớp GATv2 (4 head, edge_attr = nhãn quan hệ), MLP bộ ba, vector phần tử p = L2(f + U·g) với U khởi tạo 0; hai kênh khớp vật thể và bộ ba (attention τ, trọng số phần trong câu u); trọng số a, b, c = softmax(W·câu + bias) theo từng câu. Khởi tạo trùng phép thử không huấn luyện (R@1 val 43,50, có kiểm tra tự động). Loss cross-entropy trên 50 ứng viên, AdamW lr 1e-3, batch hiệu dụng 256, khoá cổng trong epoch 1, dừng sớm theo R@1 val, 3 seed.</t>
        </is>
      </c>
      <c r="E11" s="19" t="inlineStr">
        <is>
          <t>src/models/graph_reranker.py, src/train_graph_reranker.py, src/data/graph_store.py
experiments/level1/gat/main_r3_seed{0,1,2}/ (config, log, metrics; checkpoint trên máy/Drive)</t>
        </is>
      </c>
      <c r="F11" s="19" t="inlineStr">
        <is>
          <t>torch, torch_geometric (GATv2Conv), scripts/run_level1_chain.sh</t>
        </is>
      </c>
      <c r="G11" s="19" t="inlineStr">
        <is>
          <t>Caption test không bao giờ vào huấn luyện. Giải thích sinh từ cơ chế chấm điểm: điểm là tổng đóng góp của từng cặp bộ ba khớp nên giữ lại chính các cặp đó, không tìm đường đi sau khi đã xếp hạng (đề cấm).</t>
        </is>
      </c>
      <c r="H11" s="19" t="inlineStr">
        <is>
          <t>Xong: 3 seed, R@1 val 46,48 ± 0,24 so với CLIP 39,13 và bước 0 43,50.</t>
        </is>
      </c>
      <c r="I11" s="19" t="inlineStr">
        <is>
          <t>1.5, 1.6</t>
        </is>
      </c>
    </row>
    <row r="12" ht="76.7" customHeight="1">
      <c r="A12" s="18" t="inlineStr">
        <is>
          <t>1.8</t>
        </is>
      </c>
      <c r="B12" s="18" t="inlineStr">
        <is>
          <t>Xếp hạng lại</t>
        </is>
      </c>
      <c r="C12" s="19" t="inlineStr">
        <is>
          <t>Điểm của mô hình trên top-50, split val (chọn) và test (chấm một lần).</t>
        </is>
      </c>
      <c r="D12" s="19" t="inlineStr">
        <is>
          <t>Xếp hạng lại nằm trong mô hình: điểm = a·z(CLIP) + (1−a)·Graph, z-score trong top-50 của từng câu, a thay đổi theo câu (đúng công thức α của đề với α = a). Dòng "a, b, c cố định" có thêm bước quét α trên VAL (scripts/checks/alpha_sweep.py). Test chạy đúng một lần sau khi chốt mô hình chính (scripts/evaluate_test.py).</t>
        </is>
      </c>
      <c r="E12" s="19" t="inlineStr">
        <is>
          <t>experiments/level1/test/metrics_*.json (mean ± std qua 3 seed)
experiments/level1/controls/alpha_sweep_*.json</t>
        </is>
      </c>
      <c r="F12" s="19" t="inlineStr">
        <is>
          <t>src/models/graph_reranker.py, scripts/evaluate_test.py, scripts/checks/alpha_sweep.py</t>
        </is>
      </c>
      <c r="G12" s="19" t="inlineStr">
        <is>
          <t>Mọi lựa chọn trên val, không nhìn test. Xếp hạng lại chỉ trong top-50 nên recall@50 của CLIP là trần: 96,66% trên test.</t>
        </is>
      </c>
      <c r="H12" s="19" t="inlineStr">
        <is>
          <t>Xong: test R@1 CLIP 39,32 → CLIP + Graph 45,77 ± 0,23 (3 seed).</t>
        </is>
      </c>
      <c r="I12" s="19" t="inlineStr">
        <is>
          <t>1.4, 1.7</t>
        </is>
      </c>
    </row>
    <row r="13" ht="67.40000000000001" customHeight="1">
      <c r="A13" s="18" t="inlineStr">
        <is>
          <t>1.9</t>
        </is>
      </c>
      <c r="B13" s="18" t="inlineStr">
        <is>
          <t>Ablation</t>
        </is>
      </c>
      <c r="C13" s="19" t="inlineStr">
        <is>
          <t>Pipeline 1.7–1.8, cùng seed và siêu tham số.</t>
        </is>
      </c>
      <c r="D13" s="19" t="inlineStr">
        <is>
          <t>Huấn luyện lại từ đầu, 3 seed mỗi dòng: bỏ GAT; tắt kênh bộ ba; bỏ hẳn quan hệ (không kênh bộ ba, GAT không cạnh); a, b, c cố định; câu không qua bộ mã hoá đồ thị; huấn luyện trên cạnh nối lại ngẫu nhiên giữ bậc (nhãn đi theo cạnh); loss LambdaRank. Đối chứng chỉ đánh giá: gán đồ thị của ảnh khác, nối lại cạnh.</t>
        </is>
      </c>
      <c r="E13" s="19" t="inlineStr">
        <is>
          <t>experiments/level1/gat/&lt;dòng&gt;_r3_seed*/
experiments/level1/controls/
bảng tổng hợp trong experiments/level1/README.md</t>
        </is>
      </c>
      <c r="F13" s="19" t="inlineStr">
        <is>
          <t>src/graph/corruption.py, scripts/checks/graph_controls.py, scripts/summarize_level1.py</t>
        </is>
      </c>
      <c r="G13" s="19" t="inlineStr">
        <is>
          <t>Mục đích là chứng minh cải thiện đến từ cấu trúc quan hệ. Nếu (a) và (b) cho kết quả ngang bản đầy đủ thì quan hệ không đóng góp gì, chỉ có danh sách đối tượng giúp: phải báo cáo đúng như vậy, không che.</t>
        </is>
      </c>
      <c r="H13" s="19" t="inlineStr">
        <is>
          <t>Xong: bảng val và test × 4 metric, mean ± std. Kết luận: quan hệ giúp qua kênh bộ ba; GAT không giúp; đồ thị của ảnh khác làm kết quả sụp dưới CLIP.</t>
        </is>
      </c>
      <c r="I13" s="19" t="inlineStr">
        <is>
          <t>1.8</t>
        </is>
      </c>
    </row>
    <row r="14" ht="69.75" customHeight="1">
      <c r="A14" s="18" t="inlineStr">
        <is>
          <t>1.10</t>
        </is>
      </c>
      <c r="B14" s="18" t="inlineStr">
        <is>
          <t>Giải thích cơ bản</t>
        </is>
      </c>
      <c r="C14" s="19" t="inlineStr">
        <is>
          <t>Checkpoint mô hình chính, scene graph, đồ thị câu.</t>
        </is>
      </c>
      <c r="D14" s="19" t="inlineStr">
        <is>
          <t>Với mỗi ảnh: mỗi phần của câu ↔ phần ảnh có độ tương đồng lớn nhất, kèm w_i, a_ij, sim_ij và đóng góp = trọng số kênh × w_i × a_ij × sim_ij, cùng a, b, c của câu; lấy từ chính lần xếp hạng (matched_pairs). Hàm score_without bỏ phần đã chọn rồi chấm lại để kiểm tra (nền cho fidelity ở cấp độ 3).</t>
        </is>
      </c>
      <c r="E14" s="19" t="inlineStr">
        <is>
          <t>src/explain/graph_explainer.py (score, score_without, matched_pairs)</t>
        </is>
      </c>
      <c r="F14" s="19" t="inlineStr">
        <is>
          <t>torch; hiển thị trong demo Gradio</t>
        </is>
      </c>
      <c r="G14" s="19" t="inlineStr">
        <is>
          <t>Thứ hiển thị phải là thứ thật sự tham gia tính điểm. Thiết kế sẵn hàm "bỏ các bộ ba này khỏi scene graph rồi tính lại điểm" vì cấp độ 3 đo fidelity bằng đúng hàm đó.</t>
        </is>
      </c>
      <c r="H14" s="19" t="inlineStr">
        <is>
          <t>Có test; demo và file phân tích dùng chung một hàm.</t>
        </is>
      </c>
      <c r="I14" s="19" t="inlineStr">
        <is>
          <t>1.8</t>
        </is>
      </c>
    </row>
    <row r="15" ht="66.8" customHeight="1">
      <c r="A15" s="18" t="inlineStr">
        <is>
          <t>1.11</t>
        </is>
      </c>
      <c r="B15" s="18" t="inlineStr">
        <is>
          <t>Phân tích 5 thành công + 5 thất bại</t>
        </is>
      </c>
      <c r="C15" s="19" t="inlineStr">
        <is>
          <t>Kết quả VAL của CLIP thuần và mô hình chính (main_r3_seed0), giải thích từ 1.10.</t>
        </is>
      </c>
      <c r="D15" s="19" t="inlineStr">
        <is>
          <t>Chọn theo quy tắc ghi trước, bốc ngẫu nhiên seed 2026 trong các câu có ≥1 quan hệ: 5 thành công (CLIP sai, mô hình đúng hạng 1), 3 mô hình làm tệ đi, 2 cả hai sai. Mỗi ca: ảnh top-k, a/b/c, bảng đóng góp, phép thử xoá phần đóng góp lớn nhất so với xoá ngẫu nhiên, phân tích nguyên nhân sau khi xem ảnh thật.</t>
        </is>
      </c>
      <c r="E15" s="19" t="inlineStr">
        <is>
          <t>experiments/level1/explanations/README.md (+ cases.json, img/)</t>
        </is>
      </c>
      <c r="F15" s="19" t="inlineStr">
        <is>
          <t>scripts/explain_cases.py, scripts/render_explanations.py</t>
        </is>
      </c>
      <c r="G15" s="19" t="inlineStr">
        <is>
          <t>Chọn ca theo quy tắc cố định, không chọn theo cảm tính; dùng val, không dùng test.</t>
        </is>
      </c>
      <c r="H15" s="19" t="inlineStr">
        <is>
          <t>Xong: 10 ca; xoá phần đóng góp lớn nhất làm điểm giảm hơn xoá ngẫu nhiên ở 10/10 ca, làm ảnh rời hạng 1 ở 5/10 ca.</t>
        </is>
      </c>
      <c r="I15" s="19" t="inlineStr">
        <is>
          <t>1.10</t>
        </is>
      </c>
    </row>
    <row r="16" ht="111.75" customHeight="1">
      <c r="A16" s="18" t="inlineStr">
        <is>
          <t>1.12</t>
        </is>
      </c>
      <c r="B16" s="18" t="inlineStr">
        <is>
          <t>Platform demo (phụ trách: Lộc)</t>
        </is>
      </c>
      <c r="C16" s="19" t="inlineStr">
        <is>
          <t>Đặc trưng CLIP, bảng vector phần tử, scene graph, checkpoint main_r3_seed0.</t>
        </is>
      </c>
      <c r="D16" s="19" t="inlineStr">
        <is>
          <t>Web app Gradio chạy cục bộ: ô nhập câu, chọn chế độ CLIP thuần hoặc CLIP + Đồ thị, lưới top-k; bấm vào ảnh để xem điểm, a/b/c, đồ thị câu và bảng các cặp khớp với đóng góp. Câu tự gõ được tách bằng sng_parser, nhãn mới mã hoá ngay bằng CLIP. App chỉ gọi SearchService.search(query, mode) nên cấp độ 2, 3 cắm dataset khác vào được.</t>
        </is>
      </c>
      <c r="E16" s="19" t="inlineStr">
        <is>
          <t>app/demo_app.py
src/service/search_service.py, src/service/graph_mode.py
hướng dẫn chạy trong README; kịch bản video: docs/demo-video-script.md</t>
        </is>
      </c>
      <c r="F16" s="19" t="inlineStr">
        <is>
          <t>Gradio 6.28</t>
        </is>
      </c>
      <c r="G16" s="19" t="inlineStr">
        <is>
          <t>Chạy offline, có GPU hay không đều được (không GPU: dưới 1 giây mỗi truy vấn). Pool demo là split test hoặc val, không lẫn ảnh train. Video dự phòng ≤5 phút quay từ chính app này.</t>
        </is>
      </c>
      <c r="H16" s="19" t="inlineStr">
        <is>
          <t>Xong: chế độ đồ thị cho top-10 trùng đường đánh giá; cần chép checkpoint và bảng vector lên máy trình bày.</t>
        </is>
      </c>
      <c r="I16" s="19" t="inlineStr">
        <is>
          <t>1.4 → 1.8 → 1.10</t>
        </is>
      </c>
    </row>
    <row r="18">
      <c r="A18" s="20" t="inlineStr">
        <is>
          <t>Cần chốt trước hoặc trong khi làm</t>
        </is>
      </c>
    </row>
    <row r="19" ht="30" customHeight="1">
      <c r="A19" s="1" t="inlineStr">
        <is>
          <t>1. Kích thước tập con: ĐÃ CHỐT 2026-09-18, lấy toàn bộ phần giao (51 208 ảnh), không lấy mẫu.</t>
        </is>
      </c>
    </row>
    <row r="20" ht="30" customHeight="1">
      <c r="A20" s="1" t="inlineStr">
        <is>
          <t>2. Encoder: cấp độ 1 dùng CLIP ViT-B-32-quickgelu (OpenAI). Việc thử CLIP đa ngữ cho truy vấn tiếng Việt chưa làm, để cấp độ 3 quyết định.</t>
        </is>
      </c>
    </row>
    <row r="21" ht="60" customHeight="1">
      <c r="A21" s="1" t="inlineStr">
        <is>
          <t>3. Cách dùng scene graph: ĐỔI 2026-09-19. Bỏ phương án một đồ thị chung (node ảnh + node khái niệm + cạnh ConceptNet); dùng đồ thị riêng từng ảnh so với đồ thị tách từ truy vấn, khớp ở mức vật thể và bộ ba. Lý do: hướng của đa số bài đã công bố (SGM, GSMN, SEMScene, CORA), giữ được "quan hệ này ở ảnh nào", không rò rỉ vì không có cạnh gộp qua ảnh, và giải thích đến thẳng từ điểm. Khảo sát: docs/research/graph-enhanced-image-retrieval-approaches.md.</t>
        </is>
      </c>
    </row>
    <row r="22" ht="48.2" customHeight="1">
      <c r="A22" s="1" t="inlineStr">
        <is>
          <t>4. ĐÃ CHỐT: k = 50 (K = 100/200 không tốt hơn trên val); chuẩn hoá bằng z-score trong top-50 của từng câu.</t>
        </is>
      </c>
    </row>
    <row r="23" ht="30" customHeight="1">
      <c r="A23" s="1" t="inlineStr">
        <is>
          <t>5. ĐÃ CHỐT: Gradio.</t>
        </is>
      </c>
    </row>
    <row r="24" ht="30" customHeight="1">
      <c r="A24" s="1" t="inlineStr">
        <is>
          <t>6. Các con số trong sheet này đã thay bằng số đo thật; nguồn ở experiments/ và docs/level1-model.md.</t>
        </is>
      </c>
    </row>
    <row r="25" ht="30" customHeight="1">
      <c r="A25" s="1" t="inlineStr">
        <is>
          <t>7. ConceptNet không dùng ở cấp độ 1. Thêm ở cấp độ 2 như một lớp khái niệm nhỏ (không có node ảnh) cho truy vấn gián tiếp, bật/tắt để đo đóng góp.</t>
        </is>
      </c>
    </row>
  </sheetData>
  <mergeCells count="9">
    <mergeCell ref="A25:I25"/>
    <mergeCell ref="A19:I19"/>
    <mergeCell ref="A2:I2"/>
    <mergeCell ref="A1:I1"/>
    <mergeCell ref="A23:I23"/>
    <mergeCell ref="A24:I24"/>
    <mergeCell ref="A22:I22"/>
    <mergeCell ref="A20:I20"/>
    <mergeCell ref="A21:I2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2026-09-17T15:09:28Z</dcterms:created>
  <dcterms:modified xsi:type="dcterms:W3CDTF">2026-09-26T03:41:47Z</dcterms:modified>
  <cp:lastModifiedBy>Nhi Nguyen</cp:lastModifiedBy>
  <cp:revision>0</cp:revision>
</cp:coreProperties>
</file>