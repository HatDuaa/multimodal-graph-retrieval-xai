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han cong" sheetId="1" state="visible" r:id="rId3"/>
    <sheet name="Cap do 1"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<sst xmlns="http://schemas.openxmlformats.org/spreadsheetml/2006/main" count="263" uniqueCount="185">
  <si>
    <t xml:space="preserve">Khung phân công — Project 3: Truy vấn đa phương thức có giải thích bằng đồ thị</t>
  </si>
  <si>
    <t xml:space="preserve">Nhóm 7 · Môn Học máy với dữ liệu đồ thị · GVHD: TS. Lê Ngọc Thành</t>
  </si>
  <si>
    <t xml:space="preserve">Cách điền: mỗi người tự chọn việc ở cột của mình (D–H), chọn "Chính" hoặc "Hỗ trợ" từ danh sách. Mỗi việc cần đúng một người "Chính". Cột Trạng thái chọn từ danh sách. Khung lập ngày 2026-09-17.</t>
  </si>
  <si>
    <t xml:space="preserve">Giai đoạn</t>
  </si>
  <si>
    <t xml:space="preserve">Công việc</t>
  </si>
  <si>
    <t xml:space="preserve">Bộ dữ liệu</t>
  </si>
  <si>
    <t xml:space="preserve">Nguyễn Đình Lộc
25C11050</t>
  </si>
  <si>
    <t xml:space="preserve">Ngô Trương Minh Đạt
25C15003</t>
  </si>
  <si>
    <t xml:space="preserve">Trần Đắc Khoa
25C15015</t>
  </si>
  <si>
    <t xml:space="preserve">Nguyễn Bùi Mẫn Nhi
25C15055</t>
  </si>
  <si>
    <t xml:space="preserve">Âu Dương Khang
25C15045</t>
  </si>
  <si>
    <t xml:space="preserve">Trạng thái</t>
  </si>
  <si>
    <t xml:space="preserve">0. Nền chung</t>
  </si>
  <si>
    <t xml:space="preserve">Khung repo, config theo seed, requirements, script tải dữ liệu</t>
  </si>
  <si>
    <t xml:space="preserve">—</t>
  </si>
  <si>
    <t xml:space="preserve">Chính</t>
  </si>
  <si>
    <t xml:space="preserve">Xong</t>
  </si>
  <si>
    <t xml:space="preserve">Module trích đặc trưng CLIP (ảnh + text), lưu .npy, index FAISS</t>
  </si>
  <si>
    <t xml:space="preserve">dùng chung</t>
  </si>
  <si>
    <t xml:space="preserve">Module đánh giá: Recall@1/5/10, MRR, mean ± std qua ≥3 seed</t>
  </si>
  <si>
    <t xml:space="preserve">Thử CLIP đa ngữ với truy vấn tiếng Việt, chốt encoder cho cả project</t>
  </si>
  <si>
    <t xml:space="preserve">vài câu thử</t>
  </si>
  <si>
    <t xml:space="preserve">Chưa bắt đầu</t>
  </si>
  <si>
    <t xml:space="preserve">1. Cấp độ 1 (trần 7.0)</t>
  </si>
  <si>
    <t xml:space="preserve">Dữ liệu: join theo coco_id, lấy toàn bộ phần giao (không lấy mẫu), split Karpathy, lưu file split</t>
  </si>
  <si>
    <t xml:space="preserve">Visual Genome ∩ COCO</t>
  </si>
  <si>
    <t xml:space="preserve">Baseline CLIP thuần: caption → top-k</t>
  </si>
  <si>
    <t xml:space="preserve">Dựng đồ thị: lọc VG150, mỗi ảnh một scene graph riêng (node đối tượng, cạnh quan hệ, bộ ba); thống kê đồ thị và đo tỉ lệ bộ ba của caption tìm thấy trong scene graph của ảnh gốc</t>
  </si>
  <si>
    <t xml:space="preserve">Đang làm</t>
  </si>
  <si>
    <t xml:space="preserve">Đồ thị truy vấn: tách caption thành bộ ba (chủ thể, quan hệ, đối tượng), chuẩn hoá tên theo alias VG150</t>
  </si>
  <si>
    <t xml:space="preserve">GNN (GAT) chạy trong từng đồ thị nhỏ (ảnh và truy vấn); điểm đồ thị = độ khớp bộ ba cho từng ứng viên trong top-k</t>
  </si>
  <si>
    <t xml:space="preserve">Re-rank α·cosine + (1−α)·điểm đồ thị, chọn α trên validation</t>
  </si>
  <si>
    <t xml:space="preserve">Ablation: bỏ cạnh quan hệ (chỉ còn đối tượng), xáo cạnh trong scene graph, scene graph ngẫu nhiên</t>
  </si>
  <si>
    <t xml:space="preserve">Giải thích cơ bản: các cặp bộ ba khớp giữa truy vấn và ảnh, kèm đóng góp của từng cặp vào điểm đồ thị</t>
  </si>
  <si>
    <t xml:space="preserve">Platform demo (web app): nhập truy vấn → top-k ảnh, so CLIP thuần với CLIP + Graph, hiển thị đường đi giải thích; dựng trên baseline trước, cắm thêm đồ thị sau</t>
  </si>
  <si>
    <t xml:space="preserve">Phân tích 5 truy vấn thành công + 5 thất bại</t>
  </si>
  <si>
    <t xml:space="preserve">2. Cấp độ 2 (trần 8.5)</t>
  </si>
  <si>
    <t xml:space="preserve">Dữ liệu MKG-W: kiểm tra ảnh gốc + mô tả text, sinh truy vấn từ mô tả đã che tên, chia truy vấn và triple theo split</t>
  </si>
  <si>
    <t xml:space="preserve">MKG-W</t>
  </si>
  <si>
    <t xml:space="preserve">Chạy lại CLIP thuần và CLIP + GNN trên MKG-W</t>
  </si>
  <si>
    <t xml:space="preserve">Tái lập NativE hoặc AdaMF-MAT, bước a: link prediction gốc, so với số trong bài báo</t>
  </si>
  <si>
    <t xml:space="preserve">Tái lập, bước b: dùng embedding thực thể thay GNN trong điểm đồ thị</t>
  </si>
  <si>
    <t xml:space="preserve">MKG-W (+ Visual Genome nếu kịp)</t>
  </si>
  <si>
    <t xml:space="preserve">Soạn bộ ≥20 truy vấn mỗi tập (trực tiếp, gián tiếp, đảo quan hệ) + mô tả cách xây và kiểm tra</t>
  </si>
  <si>
    <t xml:space="preserve">Visual Genome ∩ COCO, MKG-W</t>
  </si>
  <si>
    <t xml:space="preserve">Báo cáo kết quả tách nhóm trực tiếp / gián tiếp</t>
  </si>
  <si>
    <t xml:space="preserve">Mở rộng (chọn 1–2): độ nhạy theo α, so các cách tạo cạnh, lớp khái niệm ConceptNet cho truy vấn gián tiếp (bật/tắt là một ablation)</t>
  </si>
  <si>
    <t xml:space="preserve">3. Cấp độ 3 (trần 10)</t>
  </si>
  <si>
    <t xml:space="preserve">Chốt định nghĩa fidelity / validity / sparsity</t>
  </si>
  <si>
    <t xml:space="preserve">Cài đặt fidelity (bỏ cạnh giải thích so với bỏ cạnh ngẫu nhiên) và sparsity</t>
  </si>
  <si>
    <t xml:space="preserve">Chấm validity trên ≥10 truy vấn</t>
  </si>
  <si>
    <t xml:space="preserve">MMKG tiếng Việt: chọn miền, thu thập thực thể / triple / ảnh (Wikidata, Wikimedia Commons), liên kết ảnh–thực thể</t>
  </si>
  <si>
    <t xml:space="preserve">MMKG tiếng Việt</t>
  </si>
  <si>
    <t xml:space="preserve">MMKG tiếng Việt: soạn truy vấn tiếng Việt, viết data card</t>
  </si>
  <si>
    <t xml:space="preserve">Chạy phương pháp tốt nhất trên MMKG tiếng Việt, phân tích chuyển giao</t>
  </si>
  <si>
    <t xml:space="preserve">4. Mở rộng tự chọn (+1.0 – 2.0)</t>
  </si>
  <si>
    <t xml:space="preserve">Hướng (a): α thích nghi theo truy vấn hoặc cách chọn đường đi giải thích; giả thuyết + ablation trên 2 tập</t>
  </si>
  <si>
    <t xml:space="preserve">Hướng (c): khảo sát người dùng có đối chứng (nếu còn thời gian)</t>
  </si>
  <si>
    <t xml:space="preserve">5. Sản phẩm nộp</t>
  </si>
  <si>
    <t xml:space="preserve">Báo cáo kỹ thuật 12–18 trang (chia phần theo mảng đã làm)</t>
  </si>
  <si>
    <t xml:space="preserve">Slide trình bày ≤20 phút</t>
  </si>
  <si>
    <t xml:space="preserve">Demo chạy trực tiếp + video dự phòng ≤5 phút</t>
  </si>
  <si>
    <t xml:space="preserve">README chạy lại, mô tả chống rò rỉ, khai báo dùng AI / mã nguồn mở, bảng phân công cuối</t>
  </si>
  <si>
    <t xml:space="preserve">Hỗ trợ</t>
  </si>
  <si>
    <t xml:space="preserve">Số việc Chính</t>
  </si>
  <si>
    <t xml:space="preserve">Số việc Hỗ trợ</t>
  </si>
  <si>
    <t xml:space="preserve">Cấp độ 1 — Visual Genome ∩ COCO: thông tin để làm từng bước</t>
  </si>
  <si>
    <t xml:space="preserve">Luồng: truy vấn (caption COCO) → CLIP → top-50 theo cosine → tách truy vấn thành đồ thị nhỏ → GAT trên đồ thị truy vấn và trên scene graph của từng ảnh ứng viên → điểm đồ thị = độ khớp bộ ba → xếp hạng lại → giải thích bằng các bộ ba khớp. Mỗi ảnh một đồ thị riêng, KHÔNG dựng một đồ thị chung chứa mọi ảnh; ConceptNet để sang cấp độ 2 (đổi thiết kế 2026-09-19, xem ghi chú cuối sheet). Yêu cầu đề: so CLIP với CLIP + Graph trên cùng split, ablation bỏ/xáo cạnh, hiển thị đường đi, 5 thành công + 5 thất bại. Tên file là đề xuất, đổi được nhưng giữ tiếng Anh.</t>
  </si>
  <si>
    <t xml:space="preserve">Bước</t>
  </si>
  <si>
    <t xml:space="preserve">Việc</t>
  </si>
  <si>
    <t xml:space="preserve">Đầu vào</t>
  </si>
  <si>
    <t xml:space="preserve">Cách làm</t>
  </si>
  <si>
    <t xml:space="preserve">Đầu ra (file)</t>
  </si>
  <si>
    <t xml:space="preserve">Công cụ</t>
  </si>
  <si>
    <t xml:space="preserve">Lưu ý rò rỉ / rủi ro</t>
  </si>
  <si>
    <t xml:space="preserve">Tiêu chí xong</t>
  </si>
  <si>
    <t xml:space="preserve">Phụ thuộc</t>
  </si>
  <si>
    <t xml:space="preserve">1.1</t>
  </si>
  <si>
    <t xml:space="preserve">Tải dữ liệu</t>
  </si>
  <si>
    <t xml:space="preserve">Visual Genome v1.4: image_data.json, objects.json, relationships.json, object_alias.txt, relationship_alias.txt. COCO 2014: captions_train2014.json, captions_val2014.json. Split Karpathy: dataset_coco.json.</t>
  </si>
  <si>
    <t xml:space="preserve">Chỉ tải file JSON trước (vài trăm MB). Ảnh KHÔNG tải cả bộ (~15 GB): sau bước 1.2 mới tải đúng các ảnh trong tập con theo trường url của image_data.json.</t>
  </si>
  <si>
    <t xml:space="preserve">data/raw/visual_genome/*.json
data/raw/coco/*.json
data/README.md (link + checksum)</t>
  </si>
  <si>
    <t xml:space="preserve">scripts/download_data.py, requests</t>
  </si>
  <si>
    <t xml:space="preserve">Dữ liệu lớn không commit. Ghi phiên bản và ngày tải vì đề dặn thống kê có thể đổi theo phiên bản.</t>
  </si>
  <si>
    <t xml:space="preserve">Chạy lại script trên máy khác ra đúng các file, có checksum.</t>
  </si>
  <si>
    <t xml:space="preserve">1.2</t>
  </si>
  <si>
    <t xml:space="preserve">Join, tập con, split</t>
  </si>
  <si>
    <t xml:space="preserve">image_data.json (trường coco_id), dataset_coco.json (split Karpathy), captions COCO.</t>
  </si>
  <si>
    <t xml:space="preserve">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</si>
  <si>
    <t xml:space="preserve">data/splits/vg_coco_train.json, _val.json, _test.json
data/raw/images/
experiments/data_stats.md</t>
  </si>
  <si>
    <t xml:space="preserve">src/data/build_split.py, scripts/download_images.py</t>
  </si>
  <si>
    <t xml:space="preserve">Split lấy theo chuẩn có sẵn, không tự chia lại và không lấy mẫu nên không phụ thuộc seed. File split nộp kèm (Mục 6).</t>
  </si>
  <si>
    <t xml:space="preserve">Ba file split cố định; chạy lại cùng seed ra đúng danh sách; bảng thống kê có số thật.</t>
  </si>
  <si>
    <t xml:space="preserve">1.3</t>
  </si>
  <si>
    <t xml:space="preserve">Trích đặc trưng CLIP</t>
  </si>
  <si>
    <t xml:space="preserve">Ảnh tập con, caption, nhãn VG150 (150 lớp đối tượng, 50 quan hệ).</t>
  </si>
  <si>
    <t xml:space="preserve">open_clip, encoder đóng băng ViT-B/32 (openai). Trích một lần: vector ảnh, vector caption (đã xong), và vector nhãn VG150 để làm đặc trưng node/cạnh của đồ thị nhỏ (đối tượng theo mẫu "a photo of a {tên}", quan hệ mã hoá nguyên văn). Chuẩn hoá L2.</t>
  </si>
  <si>
    <t xml:space="preserve">data/features/vg_coco_image.npy, vg_coco_caption.npy, vg_coco_concept.npy + file .ids.json</t>
  </si>
  <si>
    <t xml:space="preserve">src/features/extract_clip.py, open_clip, torch</t>
  </si>
  <si>
    <t xml:space="preserve">Encoder đóng băng nên không có gì học từ test. Ghi tên model + pretrained tag vào config để tái lập.</t>
  </si>
  <si>
    <t xml:space="preserve">Số dòng khớp số ảnh / caption / khái niệm; chuẩn của mỗi vector = 1.</t>
  </si>
  <si>
    <t xml:space="preserve">1.2, giai đoạn 0</t>
  </si>
  <si>
    <t xml:space="preserve">1.4</t>
  </si>
  <si>
    <t xml:space="preserve">Baseline CLIP thuần</t>
  </si>
  <si>
    <t xml:space="preserve">image_feats, caption_feats, split test.</t>
  </si>
  <si>
    <t xml:space="preserve">FAISS IndexFlatIP trên ảnh của split test (pool ứng viên). Mỗi caption test là một truy vấn, đáp án đúng là ảnh gốc của nó. Tính Recall@1/5/10, MRR. Lưu top-50 cho từng truy vấn để các bước sau xếp hạng lại.</t>
  </si>
  <si>
    <t xml:space="preserve">experiments/level1/clip_baseline/metrics.json
experiments/level1/clip_baseline/top50_{val,test}.npy</t>
  </si>
  <si>
    <t xml:space="preserve">src/retrieval/clip_baseline.py, src/eval/metrics.py, faiss</t>
  </si>
  <si>
    <t xml:space="preserve">Kiểm tra pipeline: đối chiếu sơ bộ với Recall@1 zero-shot text→image của CLIP trên COCO đã công bố (cần tra lại số cho đúng model; pool nhỏ hơn 5k thì số của nhóm cao hơn). Lệch quá xa = có lỗi.</t>
  </si>
  <si>
    <t xml:space="preserve">Có bảng R@1/5/10, MRR trên val và test; baseline không có ngẫu nhiên nên 1 lần chạy là đủ.</t>
  </si>
  <si>
    <t xml:space="preserve">1.5</t>
  </si>
  <si>
    <t xml:space="preserve">Dựng đồ thị</t>
  </si>
  <si>
    <t xml:space="preserve">objects.json, relationships.json, alias, danh sách VG150 (150 lớp đối tượng, 50 quan hệ), file split, caption.</t>
  </si>
  <si>
    <t xml:space="preserve">Chuẩn hoá tên theo alias, lọc theo VG150. Mỗi ảnh một đồ thị riêng: node = đối tượng (nhãn VG150), cạnh có hướng = quan hệ, mỗi cạnh cho một bộ ba (chủ thể, quan hệ, đối tượng); gộp các đối tượng trùng nhãn chỉ khi trùng hộp bao. Đặc trưng node và cạnh = vector CLIP text của nhãn. Làm TRƯỚC khi viết GNN: script đo (a) số đối tượng / quan hệ mỗi ảnh sau lọc, tỉ lệ ảnh không còn quan hệ nào; (b) tỉ lệ caption tách ra được ≥1 bộ ba; (c) tỉ lệ bộ ba của caption tìm thấy trong scene graph của đúng ảnh gốc.</t>
  </si>
  <si>
    <t xml:space="preserve">data/graphs/vg_coco_scene_graphs.jsonl (mỗi dòng một ảnh)
scripts/checks/scene_graph_coverage.py
experiments/checks/scene_graph_coverage.json
experiments/level1/graph_stats.md</t>
  </si>
  <si>
    <t xml:space="preserve">src/graph/build_scene_graphs.py, torch_geometric</t>
  </si>
  <si>
    <t xml:space="preserve">Đồ thị của ảnh nào chỉ chứa chú thích của chính ảnh đó, không có cạnh gộp qua nhiều ảnh, nên không có thống kê nào của val/test lọt vào huấn luyện; GAT học trên ảnh TRAIN rồi áp lên ảnh val/test như dữ liệu mới. Hạn chế phải ghi rõ: scene graph của ảnh ứng viên là chú thích gán tay, thực tế ảnh mới không có sẵn. Rủi ro: nếu tỉ lệ (c) thấp thì hướng khớp bộ ba không có tác dụng, phải xét lại thiết kế.</t>
  </si>
  <si>
    <t xml:space="preserve">Bảng thống kê: số đối tượng, số quan hệ mỗi ảnh (trung bình, trung vị), tỉ lệ ảnh không còn quan hệ; ba tỉ lệ (a)(b)(c) có số thật trên train/val.</t>
  </si>
  <si>
    <t xml:space="preserve">1.6</t>
  </si>
  <si>
    <t xml:space="preserve">Đồ thị truy vấn</t>
  </si>
  <si>
    <t xml:space="preserve">Caption (truy vấn), alias và nhãn VG150.</t>
  </si>
  <si>
    <t xml:space="preserve">Tách caption thành đồ thị nhỏ cùng dạng với scene graph: đối tượng, quan hệ, bộ ba, ví dụ "a child playing with a ball" → (child, playing with, ball). Dùng bộ tách dựa trên spaCy (SceneGraphParser hoặc luật trên cây phụ thuộc). Chuẩn hoá tên theo alias; từ không có trong VG150 vẫn giữ, vì node mang vector CLIP text nên kid và child tự gần nhau. Truy vấn không tách được bộ ba nào thì khớp ở mức đối tượng; không có đối tượng nào thì điểm đồ thị = 0, chỉ còn điểm CLIP.</t>
  </si>
  <si>
    <t xml:space="preserve">data/processed/query_graphs_{train,val,test}.json
thống kê tỉ lệ truy vấn tách được ≥1 bộ ba</t>
  </si>
  <si>
    <t xml:space="preserve">src/graph/parse_query.py, spacy (en_core_web_sm), SceneGraphParser</t>
  </si>
  <si>
    <t xml:space="preserve">Bước này không học gì nên không rò rỉ. Rủi ro lớn nhất của cả cấp độ 1: bộ tách bắt sai hoặc bỏ sót quan hệ thì các bước sau vô nghĩa, nên đo ở bước 1.5 trước khi viết GNN.</t>
  </si>
  <si>
    <t xml:space="preserve">Tỉ lệ truy vấn tách được ≥1 bộ ba và ≥1 đối tượng được báo cáo cho cả 3 split; xem tay 30 truy vấn để kiểm tra tách sai.</t>
  </si>
  <si>
    <t xml:space="preserve">1.7</t>
  </si>
  <si>
    <t xml:space="preserve">GNN và điểm đồ thị</t>
  </si>
  <si>
    <t xml:space="preserve">Scene graph từng ảnh, đồ thị truy vấn, top-50 của baseline, split train/val.</t>
  </si>
  <si>
    <t xml:space="preserve">Một GAT 2 lớp dùng chung, chạy trong từng đồ thị nhỏ (cả ảnh lẫn truy vấn), đưa loại quan hệ vào attention. Sau GAT, mỗi bộ ba có một vector (gộp chủ thể, quan hệ, đối tượng). Điểm đồ thị(truy vấn, ảnh) = trung bình, trên các bộ ba của truy vấn, của cosine lớn nhất với một bộ ba của ảnh; cộng thêm mức đối tượng khi truy vấn không có bộ ba. Huấn luyện bằng contrastive loss trên cặp (caption, ảnh) của TRAIN, ảnh âm lấy trong batch và trong top-50 của CLIP; dừng sớm theo Recall trên VAL. Chạy ≥3 seed.</t>
  </si>
  <si>
    <t xml:space="preserve">src/models/graph_matcher.py, src/train.py
experiments/level1/gat/seed_{0,1,2}/ (checkpoint, log, config)</t>
  </si>
  <si>
    <t xml:space="preserve">torch_geometric (GATConv / GATv2Conv có edge_attr), torch</t>
  </si>
  <si>
    <t xml:space="preserve">Caption test không bao giờ vào huấn luyện. Giải thích sinh từ cơ chế chấm điểm: điểm là tổng đóng góp của từng cặp bộ ba khớp nên giữ lại chính các cặp đó, không tìm đường đi sau khi đã xếp hạng (đề cấm).</t>
  </si>
  <si>
    <t xml:space="preserve">Loss giảm, Recall trên val của riêng điểm đồ thị cao hơn ngẫu nhiên rõ rệt; có checkpoint cho 3 seed.</t>
  </si>
  <si>
    <t xml:space="preserve">1.5, 1.6</t>
  </si>
  <si>
    <t xml:space="preserve">1.8</t>
  </si>
  <si>
    <t xml:space="preserve">Xếp hạng lại</t>
  </si>
  <si>
    <t xml:space="preserve">top-50 baseline, điểm đồ thị, split val/test.</t>
  </si>
  <si>
    <t xml:space="preserve">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</si>
  <si>
    <t xml:space="preserve">experiments/level1/rerank/metrics.json (mean ± std qua seed), alpha_sweep_val.csv</t>
  </si>
  <si>
    <t xml:space="preserve">src/retrieval/rerank.py</t>
  </si>
  <si>
    <t xml:space="preserve">α và k chọn trên val, không nhìn test. Xếp hạng lại chỉ trong top-50 nên Recall@50 của baseline là trần: ghi con số này vào báo cáo.</t>
  </si>
  <si>
    <t xml:space="preserve">Bảng so sánh CLIP thuần và CLIP + Graph trên cùng split, có mean ± std của ≥3 seed.</t>
  </si>
  <si>
    <t xml:space="preserve">1.4, 1.7</t>
  </si>
  <si>
    <t xml:space="preserve">1.9</t>
  </si>
  <si>
    <t xml:space="preserve">Ablation</t>
  </si>
  <si>
    <t xml:space="preserve">Scene graph từng ảnh, pipeline 1.7–1.8.</t>
  </si>
  <si>
    <t xml:space="preserve">Huấn luyện lại với: (a) bỏ cạnh quan hệ, chỉ còn tập đối tượng; (b) xáo cạnh trong từng scene graph, giữ nguyên tập node và số cạnh; (c) scene graph ngẫu nhiên: gán cho mỗi ảnh đồ thị của một ảnh khác cùng split. Cùng seed, cùng siêu tham số với bản đầy đủ.</t>
  </si>
  <si>
    <t xml:space="preserve">experiments/level1/ablation/{no_rel,shuffled,random}/
bảng tổng hợp ablation</t>
  </si>
  <si>
    <t xml:space="preserve">src/graph/perturb.py</t>
  </si>
  <si>
    <t xml:space="preserve">Mục đích là chứng minh cải thiện đến từ cấu trúc quan hệ. Nếu (a) và (b) cho kết quả ngang bản đầy đủ thì quan hệ không đóng góp gì, chỉ có danh sách đối tượng giúp: phải báo cáo đúng như vậy, không che.</t>
  </si>
  <si>
    <t xml:space="preserve">Bảng 4 hàng (đầy đủ + 3 biến thể) × 4 metric, mean ± std.</t>
  </si>
  <si>
    <t xml:space="preserve">1.10</t>
  </si>
  <si>
    <t xml:space="preserve">Giải thích cơ bản</t>
  </si>
  <si>
    <t xml:space="preserve">Checkpoint GAT, scene graph, đồ thị truy vấn.</t>
  </si>
  <si>
    <t xml:space="preserve">Với mỗi kết quả: xuất top-m cặp (bộ ba của truy vấn ↔ bộ ba của ảnh) khớp cao nhất kèm đóng góp vào điểm đồ thị, ví dụ (child, playing with, ball) ↔ (child –holding→ ball): 0,41. Trả về cấu trúc dữ liệu (danh sách cạnh + trọng số) để platform demo ở bước 1.12 hiển thị.</t>
  </si>
  <si>
    <t xml:space="preserve">src/explain/path_explainer.py
notebooks/demo_retrieval.ipynb</t>
  </si>
  <si>
    <t xml:space="preserve">networkx / pyvis, matplotlib, ipywidgets</t>
  </si>
  <si>
    <t xml:space="preserve">Thứ hiển thị phải là thứ thật sự tham gia tính điểm. Thiết kế sẵn hàm "bỏ các bộ ba này khỏi scene graph rồi tính lại điểm" vì cấp độ 3 đo fidelity bằng đúng hàm đó.</t>
  </si>
  <si>
    <t xml:space="preserve">Hàm giải thích có test; mỗi kết quả có ≥1 cặp bộ ba khớp hoặc ghi rõ "không có bộ ba khớp, chỉ dùng điểm CLIP".</t>
  </si>
  <si>
    <t xml:space="preserve">1.11</t>
  </si>
  <si>
    <t xml:space="preserve">Phân tích 5 thành công + 5 thất bại</t>
  </si>
  <si>
    <t xml:space="preserve">Kết quả test của CLIP thuần và CLIP + Graph, giải thích từ 1.10.</t>
  </si>
  <si>
    <t xml:space="preserve">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</si>
  <si>
    <t xml:space="preserve">report/analysis/level1_case_studies.md + hình</t>
  </si>
  <si>
    <t xml:space="preserve">notebook</t>
  </si>
  <si>
    <t xml:space="preserve">Chọn ca theo tiêu chí ghi trước (ví dụ: thay đổi hạng lớn nhất), không chọn theo cảm tính cho đẹp.</t>
  </si>
  <si>
    <t xml:space="preserve">10 ca có đủ 4 mục; nhóm nguyên nhân thất bại được tổng kết thành 2–3 loại.</t>
  </si>
  <si>
    <t xml:space="preserve">1.12</t>
  </si>
  <si>
    <t xml:space="preserve">Platform demo (phụ trách: Lộc)</t>
  </si>
  <si>
    <t xml:space="preserve">Đặc trưng CLIP + index FAISS (1.3–1.4); về sau: checkpoint GAT (1.7), điểm xếp hạng lại (1.8), hàm giải thích (1.10).</t>
  </si>
  <si>
    <t xml:space="preserve">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</si>
  <si>
    <t xml:space="preserve">app/demo_app.py
src/service/search_service.py
hướng dẫn chạy trong README</t>
  </si>
  <si>
    <t xml:space="preserve">Gradio (gallery ảnh có sẵn, ít code) hoặc Streamlit; pyvis / networkx để vẽ đồ thị con</t>
  </si>
  <si>
    <t xml:space="preserve">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</si>
  <si>
    <t xml:space="preserve">Nấc 1 chạy được ngay sau baseline; nấc 3 chạy trên máy sạch theo README; mỗi kết quả có ≥1 đường đi hoặc ghi rõ "chỉ dùng điểm CLIP".</t>
  </si>
  <si>
    <t xml:space="preserve">1.4 → 1.8 → 1.10</t>
  </si>
  <si>
    <t xml:space="preserve">Cần chốt trước hoặc trong khi làm</t>
  </si>
  <si>
    <t xml:space="preserve">1. Kích thước tập con: ĐÃ CHỐT 2026-09-18, lấy toàn bộ phần giao (51 208 ảnh), không lấy mẫu.</t>
  </si>
  <si>
    <t xml:space="preserve">2. Encoder: chờ kết quả thử CLIP đa ngữ ở giai đoạn 0; nếu bản đa ngữ kém hẳn trên tiếng Anh thì dùng hai encoder (báo cáo rõ).</t>
  </si>
  <si>
    <t xml:space="preserve">3. Cách dùng scene graph: ĐỔI 2026-09-19. Bỏ phương án một đồ thị chung (node ảnh + node khái niệm + cạnh ConceptNet); dùng đồ thị riêng từng ảnh so với đồ thị tách từ truy vấn, khớp ở mức bộ ba. Lý do: đây là hướng của đa số bài đã công bố (SGM, GSMN, SEMScene, CORA), giữ được "quan hệ này ở ảnh nào", không rò rỉ vì không có cạnh gộp qua ảnh, và giải thích đến thẳng từ điểm. Khảo sát: docs/research/graph-enhanced-image-retrieval-approaches.md. Thiết kế còn phụ thuộc số đo ở bước 1.5; nếu tỉ lệ bộ ba khớp quá thấp thì xét lại.</t>
  </si>
  <si>
    <t xml:space="preserve">4. k của top-k (đề xuất 50) và cách chuẩn hoá điểm trước khi cộng.</t>
  </si>
  <si>
    <t xml:space="preserve">5. Framework cho platform demo: Gradio hay Streamlit (đề xuất Gradio vì có sẵn gallery ảnh).</t>
  </si>
  <si>
    <t xml:space="preserve">6. Các con số trong sheet này (kích thước file, Recall công bố, ngưỡng 70%) là ước lượng để định hướng, phải thay bằng số đo thật khi chạy.</t>
  </si>
  <si>
    <t xml:space="preserve">7. ConceptNet không dùng ở cấp độ 1. Thêm ở cấp độ 2 như một lớp khái niệm nhỏ (không có node ảnh) cho truy vấn gián tiếp, bật/tắt để đo đóng góp.</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</si>
</sst>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i val="true"/>
      <sz val="10"/>
      <color rgb="FF7F7F7F"/>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s>
  <fills count="8">
    <fill>
      <patternFill patternType="none"/>
    </fill>
    <fill>
      <patternFill patternType="gray125"/>
    </fill>
    <fill>
      <patternFill patternType="solid">
        <fgColor rgb="FF2C5361"/>
        <bgColor rgb="FF333399"/>
      </patternFill>
    </fill>
    <fill>
      <patternFill patternType="solid">
        <fgColor rgb="FFF2F2F2"/>
        <bgColor rgb="FFE8F3F1"/>
      </patternFill>
    </fill>
    <fill>
      <patternFill patternType="solid">
        <fgColor rgb="FFE8F3F1"/>
        <bgColor rgb="FFF2F2F2"/>
      </patternFill>
    </fill>
    <fill>
      <patternFill patternType="solid">
        <fgColor rgb="FFFDF3E1"/>
        <bgColor rgb="FFFBE9E5"/>
      </patternFill>
    </fill>
    <fill>
      <patternFill patternType="solid">
        <fgColor rgb="FFEEE8F7"/>
        <bgColor rgb="FFF2F2F2"/>
      </patternFill>
    </fill>
    <fill>
      <patternFill patternType="solid">
        <fgColor rgb="FFFBE9E5"/>
        <bgColor rgb="FFFDF3E1"/>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center"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center"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DF3E1"/>
      <rgbColor rgb="FFE8F3F1"/>
      <rgbColor rgb="FF660066"/>
      <rgbColor rgb="FFFF8080"/>
      <rgbColor rgb="FF0066CC"/>
      <rgbColor rgb="FFEEE8F7"/>
      <rgbColor rgb="FF000080"/>
      <rgbColor rgb="FFFF00FF"/>
      <rgbColor rgb="FFFFFF00"/>
      <rgbColor rgb="FF00FFFF"/>
      <rgbColor rgb="FF800080"/>
      <rgbColor rgb="FF800000"/>
      <rgbColor rgb="FF008080"/>
      <rgbColor rgb="FF0000FF"/>
      <rgbColor rgb="FF00CCFF"/>
      <rgbColor rgb="FFF2F2F2"/>
      <rgbColor rgb="FFCCFFCC"/>
      <rgbColor rgb="FFFBE9E5"/>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536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D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62"/>
    <col collapsed="false" customWidth="true" hidden="false" outlineLevel="0" max="3" min="3" style="0" width="24"/>
    <col collapsed="false" customWidth="true" hidden="false" outlineLevel="0" max="8" min="4" style="0" width="16"/>
    <col collapsed="false" customWidth="true" hidden="false" outlineLevel="0" max="9" min="9" style="0" width="14"/>
  </cols>
  <sheetData>
    <row r="1" customFormat="false" ht="17.35"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3" customFormat="false" ht="30" hidden="false" customHeight="true" outlineLevel="0" collapsed="false">
      <c r="A3" s="3" t="s">
        <v>2</v>
      </c>
      <c r="B3" s="3"/>
      <c r="C3" s="3"/>
      <c r="D3" s="3"/>
      <c r="E3" s="3"/>
      <c r="F3" s="3"/>
      <c r="G3" s="3"/>
      <c r="H3" s="3"/>
      <c r="I3" s="3"/>
    </row>
    <row r="5" customFormat="false" ht="33.75" hidden="false" customHeight="true" outlineLevel="0" collapsed="false">
      <c r="A5" s="4" t="s">
        <v>3</v>
      </c>
      <c r="B5" s="4" t="s">
        <v>4</v>
      </c>
      <c r="C5" s="4" t="s">
        <v>5</v>
      </c>
      <c r="D5" s="4" t="s">
        <v>6</v>
      </c>
      <c r="E5" s="4" t="s">
        <v>7</v>
      </c>
      <c r="F5" s="4" t="s">
        <v>8</v>
      </c>
      <c r="G5" s="4" t="s">
        <v>9</v>
      </c>
      <c r="H5" s="4" t="s">
        <v>10</v>
      </c>
      <c r="I5" s="4" t="s">
        <v>11</v>
      </c>
    </row>
    <row r="6" customFormat="false" ht="30" hidden="false" customHeight="true" outlineLevel="0" collapsed="false">
      <c r="A6" s="5" t="s">
        <v>12</v>
      </c>
      <c r="B6" s="6" t="s">
        <v>13</v>
      </c>
      <c r="C6" s="6" t="s">
        <v>14</v>
      </c>
      <c r="D6" s="7" t="s">
        <v>15</v>
      </c>
      <c r="E6" s="7"/>
      <c r="F6" s="7"/>
      <c r="G6" s="7"/>
      <c r="H6" s="7"/>
      <c r="I6" s="7" t="s">
        <v>16</v>
      </c>
    </row>
    <row r="7" customFormat="false" ht="30" hidden="false" customHeight="true" outlineLevel="0" collapsed="false">
      <c r="A7" s="5"/>
      <c r="B7" s="6" t="s">
        <v>17</v>
      </c>
      <c r="C7" s="6" t="s">
        <v>18</v>
      </c>
      <c r="D7" s="7" t="s">
        <v>15</v>
      </c>
      <c r="E7" s="7"/>
      <c r="F7" s="7"/>
      <c r="G7" s="7"/>
      <c r="H7" s="7"/>
      <c r="I7" s="7" t="s">
        <v>16</v>
      </c>
    </row>
    <row r="8" customFormat="false" ht="30" hidden="false" customHeight="true" outlineLevel="0" collapsed="false">
      <c r="A8" s="5"/>
      <c r="B8" s="6" t="s">
        <v>19</v>
      </c>
      <c r="C8" s="6" t="s">
        <v>18</v>
      </c>
      <c r="D8" s="7" t="s">
        <v>15</v>
      </c>
      <c r="E8" s="7"/>
      <c r="F8" s="7"/>
      <c r="G8" s="7"/>
      <c r="H8" s="7"/>
      <c r="I8" s="7" t="s">
        <v>16</v>
      </c>
    </row>
    <row r="9" customFormat="false" ht="30" hidden="false" customHeight="true" outlineLevel="0" collapsed="false">
      <c r="A9" s="5"/>
      <c r="B9" s="6" t="s">
        <v>20</v>
      </c>
      <c r="C9" s="6" t="s">
        <v>21</v>
      </c>
      <c r="D9" s="7"/>
      <c r="E9" s="7"/>
      <c r="F9" s="7"/>
      <c r="G9" s="7"/>
      <c r="H9" s="7"/>
      <c r="I9" s="7" t="s">
        <v>22</v>
      </c>
    </row>
    <row r="10" customFormat="false" ht="43.5" hidden="false" customHeight="true" outlineLevel="0" collapsed="false">
      <c r="A10" s="8" t="s">
        <v>23</v>
      </c>
      <c r="B10" s="9" t="s">
        <v>24</v>
      </c>
      <c r="C10" s="9" t="s">
        <v>25</v>
      </c>
      <c r="D10" s="7" t="s">
        <v>15</v>
      </c>
      <c r="E10" s="7"/>
      <c r="F10" s="7"/>
      <c r="G10" s="7"/>
      <c r="H10" s="7"/>
      <c r="I10" s="7" t="s">
        <v>16</v>
      </c>
    </row>
    <row r="11" customFormat="false" ht="30" hidden="false" customHeight="true" outlineLevel="0" collapsed="false">
      <c r="A11" s="8"/>
      <c r="B11" s="9" t="s">
        <v>26</v>
      </c>
      <c r="C11" s="9" t="s">
        <v>25</v>
      </c>
      <c r="D11" s="7" t="s">
        <v>15</v>
      </c>
      <c r="E11" s="7"/>
      <c r="F11" s="7"/>
      <c r="G11" s="7"/>
      <c r="H11" s="7"/>
      <c r="I11" s="7" t="s">
        <v>16</v>
      </c>
    </row>
    <row r="12" customFormat="false" ht="43.5" hidden="false" customHeight="true" outlineLevel="0" collapsed="false">
      <c r="A12" s="8"/>
      <c r="B12" s="9" t="s">
        <v>27</v>
      </c>
      <c r="C12" s="9" t="s">
        <v>25</v>
      </c>
      <c r="D12" s="7" t="s">
        <v>15</v>
      </c>
      <c r="E12" s="7"/>
      <c r="F12" s="7"/>
      <c r="G12" s="7"/>
      <c r="H12" s="7"/>
      <c r="I12" s="7" t="s">
        <v>28</v>
      </c>
    </row>
    <row r="13" customFormat="false" ht="30" hidden="false" customHeight="true" outlineLevel="0" collapsed="false">
      <c r="A13" s="8"/>
      <c r="B13" s="9" t="s">
        <v>29</v>
      </c>
      <c r="C13" s="9" t="s">
        <v>25</v>
      </c>
      <c r="D13" s="7" t="s">
        <v>15</v>
      </c>
      <c r="E13" s="7"/>
      <c r="F13" s="7"/>
      <c r="G13" s="7"/>
      <c r="H13" s="7"/>
      <c r="I13" s="7" t="s">
        <v>28</v>
      </c>
    </row>
    <row r="14" customFormat="false" ht="30" hidden="false" customHeight="true" outlineLevel="0" collapsed="false">
      <c r="A14" s="8"/>
      <c r="B14" s="9" t="s">
        <v>30</v>
      </c>
      <c r="C14" s="9" t="s">
        <v>25</v>
      </c>
      <c r="D14" s="7" t="s">
        <v>15</v>
      </c>
      <c r="E14" s="7"/>
      <c r="F14" s="7"/>
      <c r="G14" s="7"/>
      <c r="H14" s="7"/>
      <c r="I14" s="7" t="s">
        <v>28</v>
      </c>
    </row>
    <row r="15" customFormat="false" ht="30" hidden="false" customHeight="true" outlineLevel="0" collapsed="false">
      <c r="A15" s="8"/>
      <c r="B15" s="9" t="s">
        <v>31</v>
      </c>
      <c r="C15" s="9" t="s">
        <v>25</v>
      </c>
      <c r="D15" s="7" t="s">
        <v>15</v>
      </c>
      <c r="E15" s="7"/>
      <c r="F15" s="7"/>
      <c r="G15" s="7"/>
      <c r="H15" s="7"/>
      <c r="I15" s="7" t="s">
        <v>28</v>
      </c>
    </row>
    <row r="16" customFormat="false" ht="30" hidden="false" customHeight="true" outlineLevel="0" collapsed="false">
      <c r="A16" s="8"/>
      <c r="B16" s="9" t="s">
        <v>32</v>
      </c>
      <c r="C16" s="9" t="s">
        <v>25</v>
      </c>
      <c r="D16" s="7" t="s">
        <v>15</v>
      </c>
      <c r="E16" s="7"/>
      <c r="F16" s="7"/>
      <c r="G16" s="7"/>
      <c r="H16" s="7"/>
      <c r="I16" s="7" t="s">
        <v>28</v>
      </c>
    </row>
    <row r="17" customFormat="false" ht="30" hidden="false" customHeight="true" outlineLevel="0" collapsed="false">
      <c r="A17" s="8"/>
      <c r="B17" s="9" t="s">
        <v>33</v>
      </c>
      <c r="C17" s="9" t="s">
        <v>25</v>
      </c>
      <c r="D17" s="7" t="s">
        <v>15</v>
      </c>
      <c r="E17" s="7"/>
      <c r="F17" s="7"/>
      <c r="G17" s="7"/>
      <c r="H17" s="7"/>
      <c r="I17" s="7" t="s">
        <v>28</v>
      </c>
    </row>
    <row r="18" customFormat="false" ht="43.5" hidden="false" customHeight="true" outlineLevel="0" collapsed="false">
      <c r="A18" s="8"/>
      <c r="B18" s="9" t="s">
        <v>34</v>
      </c>
      <c r="C18" s="9" t="s">
        <v>25</v>
      </c>
      <c r="D18" s="7" t="s">
        <v>15</v>
      </c>
      <c r="E18" s="7"/>
      <c r="F18" s="7"/>
      <c r="G18" s="7"/>
      <c r="H18" s="7"/>
      <c r="I18" s="7" t="s">
        <v>28</v>
      </c>
    </row>
    <row r="19" customFormat="false" ht="30" hidden="false" customHeight="true" outlineLevel="0" collapsed="false">
      <c r="A19" s="8"/>
      <c r="B19" s="9" t="s">
        <v>35</v>
      </c>
      <c r="C19" s="9" t="s">
        <v>25</v>
      </c>
      <c r="D19" s="7"/>
      <c r="E19" s="7"/>
      <c r="F19" s="7"/>
      <c r="G19" s="7"/>
      <c r="H19" s="7"/>
      <c r="I19" s="7" t="s">
        <v>22</v>
      </c>
    </row>
    <row r="20" customFormat="false" ht="43.5" hidden="false" customHeight="true" outlineLevel="0" collapsed="false">
      <c r="A20" s="10" t="s">
        <v>36</v>
      </c>
      <c r="B20" s="11" t="s">
        <v>37</v>
      </c>
      <c r="C20" s="11" t="s">
        <v>38</v>
      </c>
      <c r="D20" s="7"/>
      <c r="E20" s="7" t="s">
        <v>15</v>
      </c>
      <c r="F20" s="7"/>
      <c r="G20" s="7"/>
      <c r="H20" s="7"/>
      <c r="I20" s="7" t="s">
        <v>22</v>
      </c>
    </row>
    <row r="21" customFormat="false" ht="30" hidden="false" customHeight="true" outlineLevel="0" collapsed="false">
      <c r="A21" s="10"/>
      <c r="B21" s="11" t="s">
        <v>39</v>
      </c>
      <c r="C21" s="11" t="s">
        <v>38</v>
      </c>
      <c r="D21" s="7"/>
      <c r="E21" s="7"/>
      <c r="F21" s="7"/>
      <c r="G21" s="7"/>
      <c r="H21" s="7"/>
      <c r="I21" s="7" t="s">
        <v>22</v>
      </c>
    </row>
    <row r="22" customFormat="false" ht="43.5" hidden="false" customHeight="true" outlineLevel="0" collapsed="false">
      <c r="A22" s="10"/>
      <c r="B22" s="11" t="s">
        <v>40</v>
      </c>
      <c r="C22" s="11" t="s">
        <v>38</v>
      </c>
      <c r="D22" s="7"/>
      <c r="E22" s="7" t="s">
        <v>15</v>
      </c>
      <c r="F22" s="7"/>
      <c r="G22" s="7"/>
      <c r="H22" s="7"/>
      <c r="I22" s="7" t="s">
        <v>22</v>
      </c>
    </row>
    <row r="23" customFormat="false" ht="30" hidden="false" customHeight="true" outlineLevel="0" collapsed="false">
      <c r="A23" s="10"/>
      <c r="B23" s="11" t="s">
        <v>41</v>
      </c>
      <c r="C23" s="11" t="s">
        <v>42</v>
      </c>
      <c r="D23" s="7"/>
      <c r="E23" s="7" t="s">
        <v>15</v>
      </c>
      <c r="F23" s="7"/>
      <c r="G23" s="7"/>
      <c r="H23" s="7"/>
      <c r="I23" s="7" t="s">
        <v>22</v>
      </c>
    </row>
    <row r="24" customFormat="false" ht="43.5" hidden="false" customHeight="true" outlineLevel="0" collapsed="false">
      <c r="A24" s="10"/>
      <c r="B24" s="11" t="s">
        <v>43</v>
      </c>
      <c r="C24" s="11" t="s">
        <v>44</v>
      </c>
      <c r="D24" s="7"/>
      <c r="E24" s="7"/>
      <c r="F24" s="7"/>
      <c r="G24" s="7"/>
      <c r="H24" s="7"/>
      <c r="I24" s="7" t="s">
        <v>22</v>
      </c>
    </row>
    <row r="25" customFormat="false" ht="30" hidden="false" customHeight="true" outlineLevel="0" collapsed="false">
      <c r="A25" s="10"/>
      <c r="B25" s="11" t="s">
        <v>45</v>
      </c>
      <c r="C25" s="11" t="s">
        <v>44</v>
      </c>
      <c r="D25" s="7"/>
      <c r="E25" s="7"/>
      <c r="F25" s="7"/>
      <c r="G25" s="7"/>
      <c r="H25" s="7"/>
      <c r="I25" s="7" t="s">
        <v>22</v>
      </c>
    </row>
    <row r="26" customFormat="false" ht="30" hidden="false" customHeight="true" outlineLevel="0" collapsed="false">
      <c r="A26" s="10"/>
      <c r="B26" s="11" t="s">
        <v>46</v>
      </c>
      <c r="C26" s="11" t="s">
        <v>44</v>
      </c>
      <c r="D26" s="7"/>
      <c r="E26" s="7" t="s">
        <v>15</v>
      </c>
      <c r="F26" s="7"/>
      <c r="G26" s="7"/>
      <c r="H26" s="7"/>
      <c r="I26" s="7" t="s">
        <v>22</v>
      </c>
    </row>
    <row r="27" customFormat="false" ht="30" hidden="false" customHeight="true" outlineLevel="0" collapsed="false">
      <c r="A27" s="12" t="s">
        <v>47</v>
      </c>
      <c r="B27" s="13" t="s">
        <v>48</v>
      </c>
      <c r="C27" s="13" t="s">
        <v>14</v>
      </c>
      <c r="D27" s="7"/>
      <c r="E27" s="7"/>
      <c r="F27" s="7"/>
      <c r="G27" s="7"/>
      <c r="H27" s="7"/>
      <c r="I27" s="7" t="s">
        <v>22</v>
      </c>
    </row>
    <row r="28" customFormat="false" ht="30" hidden="false" customHeight="true" outlineLevel="0" collapsed="false">
      <c r="A28" s="12"/>
      <c r="B28" s="13" t="s">
        <v>49</v>
      </c>
      <c r="C28" s="13" t="s">
        <v>44</v>
      </c>
      <c r="D28" s="7"/>
      <c r="E28" s="7"/>
      <c r="F28" s="7"/>
      <c r="G28" s="7"/>
      <c r="H28" s="7"/>
      <c r="I28" s="7" t="s">
        <v>22</v>
      </c>
    </row>
    <row r="29" customFormat="false" ht="30" hidden="false" customHeight="true" outlineLevel="0" collapsed="false">
      <c r="A29" s="12"/>
      <c r="B29" s="13" t="s">
        <v>50</v>
      </c>
      <c r="C29" s="13" t="s">
        <v>44</v>
      </c>
      <c r="D29" s="7"/>
      <c r="E29" s="7"/>
      <c r="F29" s="7"/>
      <c r="G29" s="7"/>
      <c r="H29" s="7"/>
      <c r="I29" s="7" t="s">
        <v>22</v>
      </c>
    </row>
    <row r="30" customFormat="false" ht="43.5" hidden="false" customHeight="true" outlineLevel="0" collapsed="false">
      <c r="A30" s="12"/>
      <c r="B30" s="13" t="s">
        <v>51</v>
      </c>
      <c r="C30" s="13" t="s">
        <v>52</v>
      </c>
      <c r="D30" s="7"/>
      <c r="E30" s="7"/>
      <c r="F30" s="7"/>
      <c r="G30" s="7"/>
      <c r="H30" s="7"/>
      <c r="I30" s="7" t="s">
        <v>22</v>
      </c>
    </row>
    <row r="31" customFormat="false" ht="30" hidden="false" customHeight="true" outlineLevel="0" collapsed="false">
      <c r="A31" s="12"/>
      <c r="B31" s="13" t="s">
        <v>53</v>
      </c>
      <c r="C31" s="13" t="s">
        <v>52</v>
      </c>
      <c r="D31" s="7"/>
      <c r="E31" s="7"/>
      <c r="F31" s="7"/>
      <c r="G31" s="7"/>
      <c r="H31" s="7"/>
      <c r="I31" s="7" t="s">
        <v>22</v>
      </c>
    </row>
    <row r="32" customFormat="false" ht="30" hidden="false" customHeight="true" outlineLevel="0" collapsed="false">
      <c r="A32" s="12"/>
      <c r="B32" s="13" t="s">
        <v>54</v>
      </c>
      <c r="C32" s="13" t="s">
        <v>52</v>
      </c>
      <c r="D32" s="7"/>
      <c r="E32" s="7"/>
      <c r="F32" s="7"/>
      <c r="G32" s="7"/>
      <c r="H32" s="7"/>
      <c r="I32" s="7" t="s">
        <v>22</v>
      </c>
    </row>
    <row r="33" customFormat="false" ht="43.5" hidden="false" customHeight="true" outlineLevel="0" collapsed="false">
      <c r="A33" s="14" t="s">
        <v>55</v>
      </c>
      <c r="B33" s="15" t="s">
        <v>56</v>
      </c>
      <c r="C33" s="15" t="s">
        <v>44</v>
      </c>
      <c r="D33" s="7"/>
      <c r="E33" s="7"/>
      <c r="F33" s="7"/>
      <c r="G33" s="7"/>
      <c r="H33" s="7"/>
      <c r="I33" s="7" t="s">
        <v>22</v>
      </c>
    </row>
    <row r="34" customFormat="false" ht="30" hidden="false" customHeight="true" outlineLevel="0" collapsed="false">
      <c r="A34" s="14"/>
      <c r="B34" s="15" t="s">
        <v>57</v>
      </c>
      <c r="C34" s="15" t="s">
        <v>14</v>
      </c>
      <c r="D34" s="7"/>
      <c r="E34" s="7"/>
      <c r="F34" s="7"/>
      <c r="G34" s="7"/>
      <c r="H34" s="7"/>
      <c r="I34" s="7" t="s">
        <v>22</v>
      </c>
    </row>
    <row r="35" customFormat="false" ht="30" hidden="false" customHeight="true" outlineLevel="0" collapsed="false">
      <c r="A35" s="5" t="s">
        <v>58</v>
      </c>
      <c r="B35" s="6" t="s">
        <v>59</v>
      </c>
      <c r="C35" s="6" t="s">
        <v>14</v>
      </c>
      <c r="D35" s="7"/>
      <c r="E35" s="7"/>
      <c r="F35" s="7"/>
      <c r="G35" s="7"/>
      <c r="H35" s="7"/>
      <c r="I35" s="7" t="s">
        <v>22</v>
      </c>
    </row>
    <row r="36" customFormat="false" ht="30" hidden="false" customHeight="true" outlineLevel="0" collapsed="false">
      <c r="A36" s="5"/>
      <c r="B36" s="6" t="s">
        <v>60</v>
      </c>
      <c r="C36" s="6" t="s">
        <v>14</v>
      </c>
      <c r="D36" s="7"/>
      <c r="E36" s="7"/>
      <c r="F36" s="7"/>
      <c r="G36" s="7"/>
      <c r="H36" s="7"/>
      <c r="I36" s="7" t="s">
        <v>22</v>
      </c>
    </row>
    <row r="37" customFormat="false" ht="30" hidden="false" customHeight="true" outlineLevel="0" collapsed="false">
      <c r="A37" s="5"/>
      <c r="B37" s="6" t="s">
        <v>61</v>
      </c>
      <c r="C37" s="6" t="s">
        <v>14</v>
      </c>
      <c r="D37" s="7"/>
      <c r="E37" s="7"/>
      <c r="F37" s="7"/>
      <c r="G37" s="7"/>
      <c r="H37" s="7"/>
      <c r="I37" s="7" t="s">
        <v>22</v>
      </c>
    </row>
    <row r="38" customFormat="false" ht="43.5" hidden="false" customHeight="true" outlineLevel="0" collapsed="false">
      <c r="A38" s="5"/>
      <c r="B38" s="6" t="s">
        <v>62</v>
      </c>
      <c r="C38" s="6" t="s">
        <v>14</v>
      </c>
      <c r="D38" s="7" t="s">
        <v>63</v>
      </c>
      <c r="E38" s="7"/>
      <c r="F38" s="7"/>
      <c r="G38" s="7"/>
      <c r="H38" s="7"/>
      <c r="I38" s="7" t="s">
        <v>22</v>
      </c>
    </row>
    <row r="40" customFormat="false" ht="15" hidden="false" customHeight="false" outlineLevel="0" collapsed="false">
      <c r="C40" s="16" t="s">
        <v>64</v>
      </c>
      <c r="D40" s="17" t="n">
        <f aca="false">COUNTIF(D6:D38,"Chính")</f>
        <v>12</v>
      </c>
      <c r="E40" s="17" t="n">
        <f aca="false">COUNTIF(E6:E38,"Chính")</f>
        <v>4</v>
      </c>
      <c r="F40" s="17" t="n">
        <f aca="false">COUNTIF(F6:F38,"Chính")</f>
        <v>0</v>
      </c>
      <c r="G40" s="17" t="n">
        <f aca="false">COUNTIF(G6:G38,"Chính")</f>
        <v>0</v>
      </c>
      <c r="H40" s="17" t="n">
        <f aca="false">COUNTIF(H6:H38,"Chính")</f>
        <v>0</v>
      </c>
    </row>
    <row r="41" customFormat="false" ht="15" hidden="false" customHeight="false" outlineLevel="0" collapsed="false">
      <c r="C41" s="16" t="s">
        <v>65</v>
      </c>
      <c r="D41" s="17" t="n">
        <f aca="false">COUNTIF(D6:D38,"Hỗ trợ")</f>
        <v>1</v>
      </c>
      <c r="E41" s="17" t="n">
        <f aca="false">COUNTIF(E6:E38,"Hỗ trợ")</f>
        <v>0</v>
      </c>
      <c r="F41" s="17" t="n">
        <f aca="false">COUNTIF(F6:F38,"Hỗ trợ")</f>
        <v>0</v>
      </c>
      <c r="G41" s="17" t="n">
        <f aca="false">COUNTIF(G6:G38,"Hỗ trợ")</f>
        <v>0</v>
      </c>
      <c r="H41" s="17" t="n">
        <f aca="false">COUNTIF(H6:H38,"Hỗ trợ")</f>
        <v>0</v>
      </c>
    </row>
  </sheetData>
  <mergeCells count="9">
    <mergeCell ref="A1:I1"/>
    <mergeCell ref="A2:I2"/>
    <mergeCell ref="A3:I3"/>
    <mergeCell ref="A6:A9"/>
    <mergeCell ref="A10:A19"/>
    <mergeCell ref="A20:A26"/>
    <mergeCell ref="A27:A32"/>
    <mergeCell ref="A33:A34"/>
    <mergeCell ref="A35:A38"/>
  </mergeCells>
  <dataValidations count="2">
    <dataValidation allowBlank="true" errorStyle="stop" operator="between" showDropDown="false" showErrorMessage="false" showInputMessage="false" sqref="D6:H38" type="list">
      <formula1>"Chính,Hỗ trợ"</formula1>
      <formula2>0</formula2>
    </dataValidation>
    <dataValidation allowBlank="true" errorStyle="stop" operator="between" showDropDown="false" showErrorMessage="false" showInputMessage="false" sqref="I6:I38" type="list">
      <formula1>"Chưa bắt đầu,Đang làm,Xong,Bị chặn"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34"/>
    <col collapsed="false" customWidth="true" hidden="false" outlineLevel="0" max="4" min="4" style="0" width="58"/>
    <col collapsed="false" customWidth="true" hidden="false" outlineLevel="0" max="5" min="5" style="0" width="36"/>
    <col collapsed="false" customWidth="true" hidden="false" outlineLevel="0" max="6" min="6" style="0" width="26"/>
    <col collapsed="false" customWidth="true" hidden="false" outlineLevel="0" max="7" min="7" style="0" width="50"/>
    <col collapsed="false" customWidth="true" hidden="false" outlineLevel="0" max="8" min="8" style="0" width="36"/>
    <col collapsed="false" customWidth="true" hidden="false" outlineLevel="0" max="9" min="9" style="0" width="12"/>
  </cols>
  <sheetData>
    <row r="1" customFormat="false" ht="17.35" hidden="false" customHeight="false" outlineLevel="0" collapsed="false">
      <c r="A1" s="1" t="s">
        <v>66</v>
      </c>
      <c r="B1" s="1"/>
      <c r="C1" s="1"/>
      <c r="D1" s="1"/>
      <c r="E1" s="1"/>
      <c r="F1" s="1"/>
      <c r="G1" s="1"/>
      <c r="H1" s="1"/>
      <c r="I1" s="1"/>
    </row>
    <row r="2" customFormat="false" ht="72" hidden="false" customHeight="true" outlineLevel="0" collapsed="false">
      <c r="A2" s="3" t="s">
        <v>67</v>
      </c>
      <c r="B2" s="3"/>
      <c r="C2" s="3"/>
      <c r="D2" s="3"/>
      <c r="E2" s="3"/>
      <c r="F2" s="3"/>
      <c r="G2" s="3"/>
      <c r="H2" s="3"/>
      <c r="I2" s="3"/>
    </row>
    <row r="4" customFormat="false" ht="27.75" hidden="false" customHeight="true" outlineLevel="0" collapsed="false">
      <c r="A4" s="4" t="s">
        <v>68</v>
      </c>
      <c r="B4" s="4" t="s">
        <v>69</v>
      </c>
      <c r="C4" s="4" t="s">
        <v>70</v>
      </c>
      <c r="D4" s="4" t="s">
        <v>71</v>
      </c>
      <c r="E4" s="4" t="s">
        <v>72</v>
      </c>
      <c r="F4" s="4" t="s">
        <v>73</v>
      </c>
      <c r="G4" s="4" t="s">
        <v>74</v>
      </c>
      <c r="H4" s="4" t="s">
        <v>75</v>
      </c>
      <c r="I4" s="4" t="s">
        <v>76</v>
      </c>
    </row>
    <row r="5" customFormat="false" ht="84" hidden="false" customHeight="true" outlineLevel="0" collapsed="false">
      <c r="A5" s="18" t="s">
        <v>77</v>
      </c>
      <c r="B5" s="18" t="s">
        <v>78</v>
      </c>
      <c r="C5" s="19" t="s">
        <v>79</v>
      </c>
      <c r="D5" s="19" t="s">
        <v>80</v>
      </c>
      <c r="E5" s="19" t="s">
        <v>81</v>
      </c>
      <c r="F5" s="19" t="s">
        <v>82</v>
      </c>
      <c r="G5" s="19" t="s">
        <v>83</v>
      </c>
      <c r="H5" s="19" t="s">
        <v>84</v>
      </c>
      <c r="I5" s="19" t="s">
        <v>14</v>
      </c>
    </row>
    <row r="6" customFormat="false" ht="84" hidden="false" customHeight="true" outlineLevel="0" collapsed="false">
      <c r="A6" s="18" t="s">
        <v>85</v>
      </c>
      <c r="B6" s="18" t="s">
        <v>86</v>
      </c>
      <c r="C6" s="19" t="s">
        <v>87</v>
      </c>
      <c r="D6" s="19" t="s">
        <v>88</v>
      </c>
      <c r="E6" s="19" t="s">
        <v>89</v>
      </c>
      <c r="F6" s="19" t="s">
        <v>90</v>
      </c>
      <c r="G6" s="19" t="s">
        <v>91</v>
      </c>
      <c r="H6" s="19" t="s">
        <v>92</v>
      </c>
      <c r="I6" s="19" t="s">
        <v>77</v>
      </c>
    </row>
    <row r="7" customFormat="false" ht="55.5" hidden="false" customHeight="true" outlineLevel="0" collapsed="false">
      <c r="A7" s="18" t="s">
        <v>93</v>
      </c>
      <c r="B7" s="18" t="s">
        <v>94</v>
      </c>
      <c r="C7" s="19" t="s">
        <v>95</v>
      </c>
      <c r="D7" s="19" t="s">
        <v>96</v>
      </c>
      <c r="E7" s="19" t="s">
        <v>97</v>
      </c>
      <c r="F7" s="19" t="s">
        <v>98</v>
      </c>
      <c r="G7" s="19" t="s">
        <v>99</v>
      </c>
      <c r="H7" s="19" t="s">
        <v>100</v>
      </c>
      <c r="I7" s="19" t="s">
        <v>101</v>
      </c>
    </row>
    <row r="8" customFormat="false" ht="55.5" hidden="false" customHeight="true" outlineLevel="0" collapsed="false">
      <c r="A8" s="18" t="s">
        <v>102</v>
      </c>
      <c r="B8" s="18" t="s">
        <v>103</v>
      </c>
      <c r="C8" s="19" t="s">
        <v>104</v>
      </c>
      <c r="D8" s="19" t="s">
        <v>105</v>
      </c>
      <c r="E8" s="19" t="s">
        <v>106</v>
      </c>
      <c r="F8" s="19" t="s">
        <v>107</v>
      </c>
      <c r="G8" s="19" t="s">
        <v>108</v>
      </c>
      <c r="H8" s="19" t="s">
        <v>109</v>
      </c>
      <c r="I8" s="19" t="s">
        <v>93</v>
      </c>
    </row>
    <row r="9" customFormat="false" ht="84" hidden="false" customHeight="true" outlineLevel="0" collapsed="false">
      <c r="A9" s="18" t="s">
        <v>110</v>
      </c>
      <c r="B9" s="18" t="s">
        <v>111</v>
      </c>
      <c r="C9" s="19" t="s">
        <v>112</v>
      </c>
      <c r="D9" s="19" t="s">
        <v>113</v>
      </c>
      <c r="E9" s="19" t="s">
        <v>114</v>
      </c>
      <c r="F9" s="19" t="s">
        <v>115</v>
      </c>
      <c r="G9" s="15" t="s">
        <v>116</v>
      </c>
      <c r="H9" s="19" t="s">
        <v>117</v>
      </c>
      <c r="I9" s="19" t="s">
        <v>85</v>
      </c>
    </row>
    <row r="10" customFormat="false" ht="55.5" hidden="false" customHeight="true" outlineLevel="0" collapsed="false">
      <c r="A10" s="18" t="s">
        <v>118</v>
      </c>
      <c r="B10" s="18" t="s">
        <v>119</v>
      </c>
      <c r="C10" s="19" t="s">
        <v>120</v>
      </c>
      <c r="D10" s="19" t="s">
        <v>121</v>
      </c>
      <c r="E10" s="19" t="s">
        <v>122</v>
      </c>
      <c r="F10" s="19" t="s">
        <v>123</v>
      </c>
      <c r="G10" s="19" t="s">
        <v>124</v>
      </c>
      <c r="H10" s="19" t="s">
        <v>125</v>
      </c>
      <c r="I10" s="19" t="s">
        <v>110</v>
      </c>
    </row>
    <row r="11" customFormat="false" ht="84" hidden="false" customHeight="true" outlineLevel="0" collapsed="false">
      <c r="A11" s="18" t="s">
        <v>126</v>
      </c>
      <c r="B11" s="18" t="s">
        <v>127</v>
      </c>
      <c r="C11" s="19" t="s">
        <v>128</v>
      </c>
      <c r="D11" s="19" t="s">
        <v>129</v>
      </c>
      <c r="E11" s="19" t="s">
        <v>130</v>
      </c>
      <c r="F11" s="19" t="s">
        <v>131</v>
      </c>
      <c r="G11" s="19" t="s">
        <v>132</v>
      </c>
      <c r="H11" s="19" t="s">
        <v>133</v>
      </c>
      <c r="I11" s="19" t="s">
        <v>134</v>
      </c>
    </row>
    <row r="12" customFormat="false" ht="55.5" hidden="false" customHeight="true" outlineLevel="0" collapsed="false">
      <c r="A12" s="18" t="s">
        <v>135</v>
      </c>
      <c r="B12" s="18" t="s">
        <v>136</v>
      </c>
      <c r="C12" s="19" t="s">
        <v>137</v>
      </c>
      <c r="D12" s="19" t="s">
        <v>138</v>
      </c>
      <c r="E12" s="19" t="s">
        <v>139</v>
      </c>
      <c r="F12" s="19" t="s">
        <v>140</v>
      </c>
      <c r="G12" s="19" t="s">
        <v>141</v>
      </c>
      <c r="H12" s="19" t="s">
        <v>142</v>
      </c>
      <c r="I12" s="19" t="s">
        <v>143</v>
      </c>
    </row>
    <row r="13" customFormat="false" ht="55.5" hidden="false" customHeight="true" outlineLevel="0" collapsed="false">
      <c r="A13" s="18" t="s">
        <v>144</v>
      </c>
      <c r="B13" s="18" t="s">
        <v>145</v>
      </c>
      <c r="C13" s="19" t="s">
        <v>146</v>
      </c>
      <c r="D13" s="19" t="s">
        <v>147</v>
      </c>
      <c r="E13" s="19" t="s">
        <v>148</v>
      </c>
      <c r="F13" s="19" t="s">
        <v>149</v>
      </c>
      <c r="G13" s="19" t="s">
        <v>150</v>
      </c>
      <c r="H13" s="19" t="s">
        <v>151</v>
      </c>
      <c r="I13" s="19" t="s">
        <v>135</v>
      </c>
    </row>
    <row r="14" customFormat="false" ht="69.75" hidden="false" customHeight="true" outlineLevel="0" collapsed="false">
      <c r="A14" s="18" t="s">
        <v>152</v>
      </c>
      <c r="B14" s="18" t="s">
        <v>153</v>
      </c>
      <c r="C14" s="19" t="s">
        <v>154</v>
      </c>
      <c r="D14" s="19" t="s">
        <v>155</v>
      </c>
      <c r="E14" s="19" t="s">
        <v>156</v>
      </c>
      <c r="F14" s="19" t="s">
        <v>157</v>
      </c>
      <c r="G14" s="19" t="s">
        <v>158</v>
      </c>
      <c r="H14" s="19" t="s">
        <v>159</v>
      </c>
      <c r="I14" s="19" t="s">
        <v>135</v>
      </c>
    </row>
    <row r="15" customFormat="false" ht="55.5" hidden="false" customHeight="true" outlineLevel="0" collapsed="false">
      <c r="A15" s="18" t="s">
        <v>160</v>
      </c>
      <c r="B15" s="18" t="s">
        <v>161</v>
      </c>
      <c r="C15" s="19" t="s">
        <v>162</v>
      </c>
      <c r="D15" s="19" t="s">
        <v>163</v>
      </c>
      <c r="E15" s="19" t="s">
        <v>164</v>
      </c>
      <c r="F15" s="19" t="s">
        <v>165</v>
      </c>
      <c r="G15" s="19" t="s">
        <v>166</v>
      </c>
      <c r="H15" s="19" t="s">
        <v>167</v>
      </c>
      <c r="I15" s="19" t="s">
        <v>152</v>
      </c>
    </row>
    <row r="16" customFormat="false" ht="111.75" hidden="false" customHeight="true" outlineLevel="0" collapsed="false">
      <c r="A16" s="18" t="s">
        <v>168</v>
      </c>
      <c r="B16" s="18" t="s">
        <v>169</v>
      </c>
      <c r="C16" s="19" t="s">
        <v>170</v>
      </c>
      <c r="D16" s="19" t="s">
        <v>171</v>
      </c>
      <c r="E16" s="19" t="s">
        <v>172</v>
      </c>
      <c r="F16" s="19" t="s">
        <v>173</v>
      </c>
      <c r="G16" s="19" t="s">
        <v>174</v>
      </c>
      <c r="H16" s="19" t="s">
        <v>175</v>
      </c>
      <c r="I16" s="19" t="s">
        <v>176</v>
      </c>
    </row>
    <row r="18" customFormat="false" ht="15" hidden="false" customHeight="false" outlineLevel="0" collapsed="false">
      <c r="A18" s="20" t="s">
        <v>177</v>
      </c>
    </row>
    <row r="19" customFormat="false" ht="30" hidden="false" customHeight="true" outlineLevel="0" collapsed="false">
      <c r="A19" s="21" t="s">
        <v>178</v>
      </c>
      <c r="B19" s="21"/>
      <c r="C19" s="21"/>
      <c r="D19" s="21"/>
      <c r="E19" s="21"/>
      <c r="F19" s="21"/>
      <c r="G19" s="21"/>
      <c r="H19" s="21"/>
      <c r="I19" s="21"/>
    </row>
    <row r="20" customFormat="false" ht="30" hidden="false" customHeight="true" outlineLevel="0" collapsed="false">
      <c r="A20" s="21" t="s">
        <v>179</v>
      </c>
      <c r="B20" s="21"/>
      <c r="C20" s="21"/>
      <c r="D20" s="21"/>
      <c r="E20" s="21"/>
      <c r="F20" s="21"/>
      <c r="G20" s="21"/>
      <c r="H20" s="21"/>
      <c r="I20" s="21"/>
    </row>
    <row r="21" customFormat="false" ht="60" hidden="false" customHeight="true" outlineLevel="0" collapsed="false">
      <c r="A21" s="21" t="s">
        <v>180</v>
      </c>
      <c r="B21" s="21"/>
      <c r="C21" s="21"/>
      <c r="D21" s="21"/>
      <c r="E21" s="21"/>
      <c r="F21" s="21"/>
      <c r="G21" s="21"/>
      <c r="H21" s="21"/>
      <c r="I21" s="21"/>
    </row>
    <row r="22" customFormat="false" ht="30" hidden="false" customHeight="true" outlineLevel="0" collapsed="false">
      <c r="A22" s="21" t="s">
        <v>181</v>
      </c>
      <c r="B22" s="21"/>
      <c r="C22" s="21"/>
      <c r="D22" s="21"/>
      <c r="E22" s="21"/>
      <c r="F22" s="21"/>
      <c r="G22" s="21"/>
      <c r="H22" s="21"/>
      <c r="I22" s="21"/>
    </row>
    <row r="23" customFormat="false" ht="30" hidden="false" customHeight="true" outlineLevel="0" collapsed="false">
      <c r="A23" s="21" t="s">
        <v>182</v>
      </c>
      <c r="B23" s="21"/>
      <c r="C23" s="21"/>
      <c r="D23" s="21"/>
      <c r="E23" s="21"/>
      <c r="F23" s="21"/>
      <c r="G23" s="21"/>
      <c r="H23" s="21"/>
      <c r="I23" s="21"/>
    </row>
    <row r="24" customFormat="false" ht="30" hidden="false" customHeight="true" outlineLevel="0" collapsed="false">
      <c r="A24" s="21" t="s">
        <v>183</v>
      </c>
      <c r="B24" s="21"/>
      <c r="C24" s="21"/>
      <c r="D24" s="21"/>
      <c r="E24" s="21"/>
      <c r="F24" s="21"/>
      <c r="G24" s="21"/>
      <c r="H24" s="21"/>
      <c r="I24" s="21"/>
    </row>
    <row r="25" customFormat="false" ht="30" hidden="false" customHeight="true" outlineLevel="0" collapsed="false">
      <c r="A25" s="21" t="s">
        <v>184</v>
      </c>
      <c r="B25" s="21"/>
      <c r="C25" s="21"/>
      <c r="D25" s="21"/>
      <c r="E25" s="21"/>
      <c r="F25" s="21"/>
      <c r="G25" s="21"/>
      <c r="H25" s="21"/>
      <c r="I25" s="21"/>
    </row>
  </sheetData>
  <mergeCells count="9">
    <mergeCell ref="A1:I1"/>
    <mergeCell ref="A2:I2"/>
    <mergeCell ref="A19:I19"/>
    <mergeCell ref="A20:I20"/>
    <mergeCell ref="A21:I21"/>
    <mergeCell ref="A22:I22"/>
    <mergeCell ref="A23:I23"/>
    <mergeCell ref="A24:I24"/>
    <mergeCell ref="A25:I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2026-09-17T15:09:28Z</dcterms:created>
  <dc:creator>openpyxl</dc:creator>
  <dc:description/>
  <dc:language>en-US</dc:language>
  <cp:lastModifiedBy/>
  <dcterms:modified xsi:type="dcterms:W3CDTF">2026-09-23T07:15:08Z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